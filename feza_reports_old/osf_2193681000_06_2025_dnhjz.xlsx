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E758A16C-796B-41F4-AEC1-A114081AC108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<sst xmlns="http://schemas.openxmlformats.org/spreadsheetml/2006/main" count="144" uniqueCount="82">
  <si>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</si>
  <si>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</si>
  <si>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</si>
  <si>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</si>
  <si>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</si>
  <si>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</si>
  <si>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</si>
  <si>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</si>
  <si>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</si>
  <si>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</si>
  <si>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</si>
  <si>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</si>
  <si>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</si>
  <si>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</si>
  <si>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</si>
  <si>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</si>
  <si>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</si>
  <si>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</si>
  <si>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</si>
  <si>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</si>
  <si>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</si>
  <si>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</si>
  <si>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</si>
  <si>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</si>
  <si>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</si>
  <si>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</si>
  <si>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</si>
  <si>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</si>
  <si>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</si>
  <si>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</si>
  <si>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</si>
  <si>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</si>
  <si>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</si>
  <si>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</si>
  <si>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</si>
  <si>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</si>
  <si>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</si>
  <si>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</si>
  <si>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</si>
  <si>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</si>
  <si>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</si>
  <si>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</si>
  <si>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</si>
  <si>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</si>
  <si>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</si>
  <si>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</si>
  <si>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</si>
  <si>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</si>
  <si>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</si>
  <si>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</si>
  <si>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</si>
  <si>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</si>
  <si>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</si>
  <si>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</si>
  <si>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</si>
  <si>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</si>
  <si>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</si>
  <si>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</si>
  <si>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</si>
  <si>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</si>
  <si>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</si>
  <si>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</si>
  <si>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</si>
  <si>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</si>
  <si>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</si>
  <si>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</si>
  <si>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</si>
  <si>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</si>
  <si>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</si>
  <si>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</si>
  <si>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</si>
  <si>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</si>
  <si>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</si>
  <si>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</si>
  <si>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</si>
  <si>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</si>
  <si>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</si>
  <si>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</si>
  <si>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</si>
  <si>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06/2025</t>
  </si>
  <si>
    <t>Cadde-Sokak</t>
  </si>
  <si>
    <t>11/06/2025 20:31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</si>
</sst>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/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7.1390000000000002</v>
      </c>
      <c r="D24" s="21">
        <v>7.0640000000000001</v>
      </c>
      <c r="E24" s="21">
        <v>6.9829999999999997</v>
      </c>
      <c r="F24" s="21">
        <v>7.0730000000000004</v>
      </c>
      <c r="G24" s="21">
        <v>7.0819999999999999</v>
      </c>
      <c r="H24" s="21">
        <v>7.0410000000000004</v>
      </c>
      <c r="I24" s="21">
        <v>7.0380000000000003</v>
      </c>
      <c r="J24" s="21">
        <v>7.1079999999999997</v>
      </c>
      <c r="K24" s="21">
        <v>7.077</v>
      </c>
      <c r="L24" s="21">
        <v>7.0359999999999996</v>
      </c>
      <c r="M24" s="21">
        <v>7.1159999999999997</v>
      </c>
      <c r="N24" s="21">
        <v>6.6230000000000002</v>
      </c>
      <c r="O24" s="21">
        <v>6.8280000000000003</v>
      </c>
      <c r="P24" s="21">
        <v>6.6280000000000001</v>
      </c>
      <c r="Q24" s="21">
        <v>6.6040000000000001</v>
      </c>
      <c r="R24" s="21">
        <v>6.7469999999999999</v>
      </c>
      <c r="S24" s="21">
        <v>6.6369999999999996</v>
      </c>
      <c r="T24" s="21">
        <v>6.5579999999999998</v>
      </c>
      <c r="U24" s="21">
        <v>6.6029999999999998</v>
      </c>
      <c r="V24" s="21">
        <v>6.5350000000000001</v>
      </c>
      <c r="W24" s="21">
        <v>6.5030000000000001</v>
      </c>
      <c r="X24" s="21">
        <v>6.6130000000000004</v>
      </c>
      <c r="Y24" s="21">
        <v>6.617</v>
      </c>
      <c r="Z24" s="21">
        <v>6.5209999999999999</v>
      </c>
      <c r="AA24" s="21">
        <v>6.64</v>
      </c>
      <c r="AB24" s="21">
        <v>6.5359999999999996</v>
      </c>
      <c r="AC24" s="21">
        <v>6.726</v>
      </c>
      <c r="AD24" s="21">
        <v>6.5789999999999997</v>
      </c>
      <c r="AE24" s="21">
        <v>6.7069999999999999</v>
      </c>
      <c r="AF24" s="21">
        <v>6.8259999999999996</v>
      </c>
      <c r="AG24" s="21"/>
      <c r="AH24" s="19">
        <f t="shared" ref="AH24:AH70" si="0">SUM(C24:AG24)</f>
        <v>203.78799999999998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/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7.125</v>
      </c>
      <c r="D26" s="21">
        <v>7.173</v>
      </c>
      <c r="E26" s="21">
        <v>7.0990000000000002</v>
      </c>
      <c r="F26" s="21">
        <v>7.1769999999999996</v>
      </c>
      <c r="G26" s="21">
        <v>7.1970000000000001</v>
      </c>
      <c r="H26" s="21">
        <v>7.17</v>
      </c>
      <c r="I26" s="21">
        <v>7.1639999999999997</v>
      </c>
      <c r="J26" s="21">
        <v>7.2329999999999997</v>
      </c>
      <c r="K26" s="21">
        <v>7.157</v>
      </c>
      <c r="L26" s="21">
        <v>7.141</v>
      </c>
      <c r="M26" s="21">
        <v>7.15</v>
      </c>
      <c r="N26" s="21">
        <v>6.7169999999999996</v>
      </c>
      <c r="O26" s="21">
        <v>6.8209999999999997</v>
      </c>
      <c r="P26" s="21">
        <v>6.7119999999999997</v>
      </c>
      <c r="Q26" s="21">
        <v>6.7030000000000003</v>
      </c>
      <c r="R26" s="21">
        <v>6.7629999999999999</v>
      </c>
      <c r="S26" s="21">
        <v>6.6760000000000002</v>
      </c>
      <c r="T26" s="21">
        <v>6.6440000000000001</v>
      </c>
      <c r="U26" s="21">
        <v>6.67</v>
      </c>
      <c r="V26" s="21">
        <v>6.6349999999999998</v>
      </c>
      <c r="W26" s="21">
        <v>6.5549999999999997</v>
      </c>
      <c r="X26" s="21">
        <v>6.6180000000000003</v>
      </c>
      <c r="Y26" s="21">
        <v>6.6980000000000004</v>
      </c>
      <c r="Z26" s="21">
        <v>6.5979999999999999</v>
      </c>
      <c r="AA26" s="21">
        <v>6.5720000000000001</v>
      </c>
      <c r="AB26" s="21">
        <v>6.5960000000000001</v>
      </c>
      <c r="AC26" s="21">
        <v>6.8780000000000001</v>
      </c>
      <c r="AD26" s="21">
        <v>6.6829999999999998</v>
      </c>
      <c r="AE26" s="21">
        <v>6.7629999999999999</v>
      </c>
      <c r="AF26" s="21">
        <v>6.7809999999999997</v>
      </c>
      <c r="AG26" s="21"/>
      <c r="AH26" s="19">
        <f t="shared" si="0"/>
        <v>205.86900000000006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/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7.2359999999999998</v>
      </c>
      <c r="D28" s="21">
        <v>7.2110000000000003</v>
      </c>
      <c r="E28" s="21">
        <v>7.1740000000000004</v>
      </c>
      <c r="F28" s="21">
        <v>7.194</v>
      </c>
      <c r="G28" s="21">
        <v>7.202</v>
      </c>
      <c r="H28" s="21">
        <v>7.2240000000000002</v>
      </c>
      <c r="I28" s="21">
        <v>7.2510000000000003</v>
      </c>
      <c r="J28" s="21">
        <v>7.1669999999999998</v>
      </c>
      <c r="K28" s="21">
        <v>7.23</v>
      </c>
      <c r="L28" s="21">
        <v>7.2069999999999999</v>
      </c>
      <c r="M28" s="21">
        <v>7.1920000000000002</v>
      </c>
      <c r="N28" s="21">
        <v>6.8</v>
      </c>
      <c r="O28" s="21">
        <v>6.8049999999999997</v>
      </c>
      <c r="P28" s="21">
        <v>6.7990000000000004</v>
      </c>
      <c r="Q28" s="21">
        <v>6.7450000000000001</v>
      </c>
      <c r="R28" s="21">
        <v>6.8120000000000003</v>
      </c>
      <c r="S28" s="21">
        <v>6.7160000000000002</v>
      </c>
      <c r="T28" s="21">
        <v>6.6749999999999998</v>
      </c>
      <c r="U28" s="21">
        <v>6.6909999999999998</v>
      </c>
      <c r="V28" s="21">
        <v>6.6929999999999996</v>
      </c>
      <c r="W28" s="21">
        <v>6.6470000000000002</v>
      </c>
      <c r="X28" s="21">
        <v>6.5730000000000004</v>
      </c>
      <c r="Y28" s="21">
        <v>6.7249999999999996</v>
      </c>
      <c r="Z28" s="21">
        <v>6.6420000000000003</v>
      </c>
      <c r="AA28" s="21">
        <v>6.702</v>
      </c>
      <c r="AB28" s="21">
        <v>6.63</v>
      </c>
      <c r="AC28" s="21">
        <v>6.9580000000000002</v>
      </c>
      <c r="AD28" s="21">
        <v>6.7770000000000001</v>
      </c>
      <c r="AE28" s="21">
        <v>6.8550000000000004</v>
      </c>
      <c r="AF28" s="21">
        <v>6.8150000000000004</v>
      </c>
      <c r="AG28" s="21"/>
      <c r="AH28" s="19">
        <f t="shared" si="0"/>
        <v>207.34799999999993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/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7.2779999999999996</v>
      </c>
      <c r="D30" s="21">
        <v>7.2270000000000003</v>
      </c>
      <c r="E30" s="21">
        <v>7.2119999999999997</v>
      </c>
      <c r="F30" s="21">
        <v>7.2329999999999997</v>
      </c>
      <c r="G30" s="21">
        <v>7.2610000000000001</v>
      </c>
      <c r="H30" s="21">
        <v>7.25</v>
      </c>
      <c r="I30" s="21">
        <v>7.2130000000000001</v>
      </c>
      <c r="J30" s="21">
        <v>7.226</v>
      </c>
      <c r="K30" s="21">
        <v>7.298</v>
      </c>
      <c r="L30" s="21">
        <v>7.24</v>
      </c>
      <c r="M30" s="21">
        <v>7.2160000000000002</v>
      </c>
      <c r="N30" s="21">
        <v>6.6760000000000002</v>
      </c>
      <c r="O30" s="21">
        <v>6.83</v>
      </c>
      <c r="P30" s="21">
        <v>6.851</v>
      </c>
      <c r="Q30" s="21">
        <v>6.8810000000000002</v>
      </c>
      <c r="R30" s="21">
        <v>6.766</v>
      </c>
      <c r="S30" s="21">
        <v>6.7329999999999997</v>
      </c>
      <c r="T30" s="21">
        <v>6.702</v>
      </c>
      <c r="U30" s="21">
        <v>6.726</v>
      </c>
      <c r="V30" s="21">
        <v>6.718</v>
      </c>
      <c r="W30" s="21">
        <v>6.6920000000000002</v>
      </c>
      <c r="X30" s="21">
        <v>6.5869999999999997</v>
      </c>
      <c r="Y30" s="21">
        <v>6.6820000000000004</v>
      </c>
      <c r="Z30" s="21">
        <v>6.6820000000000004</v>
      </c>
      <c r="AA30" s="21">
        <v>6.7320000000000002</v>
      </c>
      <c r="AB30" s="21">
        <v>6.6459999999999999</v>
      </c>
      <c r="AC30" s="21">
        <v>6.9089999999999998</v>
      </c>
      <c r="AD30" s="21">
        <v>6.8360000000000003</v>
      </c>
      <c r="AE30" s="21">
        <v>6.8280000000000003</v>
      </c>
      <c r="AF30" s="21">
        <v>6.8360000000000003</v>
      </c>
      <c r="AG30" s="21"/>
      <c r="AH30" s="19">
        <f t="shared" si="0"/>
        <v>207.96699999999996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/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7.2169999999999996</v>
      </c>
      <c r="D32" s="21">
        <v>7.2320000000000002</v>
      </c>
      <c r="E32" s="21">
        <v>7.2469999999999999</v>
      </c>
      <c r="F32" s="21">
        <v>7.2469999999999999</v>
      </c>
      <c r="G32" s="21">
        <v>7.351</v>
      </c>
      <c r="H32" s="21">
        <v>7.27</v>
      </c>
      <c r="I32" s="21">
        <v>7.2489999999999997</v>
      </c>
      <c r="J32" s="21">
        <v>7.2619999999999996</v>
      </c>
      <c r="K32" s="21">
        <v>7.3479999999999999</v>
      </c>
      <c r="L32" s="21">
        <v>7.2510000000000003</v>
      </c>
      <c r="M32" s="21">
        <v>7.2510000000000003</v>
      </c>
      <c r="N32" s="21">
        <v>6.82</v>
      </c>
      <c r="O32" s="21">
        <v>6.8460000000000001</v>
      </c>
      <c r="P32" s="21">
        <v>6.774</v>
      </c>
      <c r="Q32" s="21">
        <v>6.8150000000000004</v>
      </c>
      <c r="R32" s="21">
        <v>6.7249999999999996</v>
      </c>
      <c r="S32" s="21">
        <v>6.72</v>
      </c>
      <c r="T32" s="21">
        <v>6.7309999999999999</v>
      </c>
      <c r="U32" s="21">
        <v>6.7519999999999998</v>
      </c>
      <c r="V32" s="21">
        <v>6.7279999999999998</v>
      </c>
      <c r="W32" s="21">
        <v>6.6150000000000002</v>
      </c>
      <c r="X32" s="21">
        <v>6.6219999999999999</v>
      </c>
      <c r="Y32" s="21">
        <v>6.6879999999999997</v>
      </c>
      <c r="Z32" s="21">
        <v>6.7</v>
      </c>
      <c r="AA32" s="21">
        <v>6.7610000000000001</v>
      </c>
      <c r="AB32" s="21">
        <v>6.6680000000000001</v>
      </c>
      <c r="AC32" s="21">
        <v>6.9160000000000004</v>
      </c>
      <c r="AD32" s="21">
        <v>6.8769999999999998</v>
      </c>
      <c r="AE32" s="21">
        <v>6.8609999999999998</v>
      </c>
      <c r="AF32" s="21">
        <v>6.8630000000000004</v>
      </c>
      <c r="AG32" s="21"/>
      <c r="AH32" s="19">
        <f t="shared" si="0"/>
        <v>208.40700000000001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/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1.8620000000000001</v>
      </c>
      <c r="D34" s="21">
        <v>1.7390000000000001</v>
      </c>
      <c r="E34" s="21">
        <v>1.7509999999999999</v>
      </c>
      <c r="F34" s="21">
        <v>1.627</v>
      </c>
      <c r="G34" s="21">
        <v>1.65</v>
      </c>
      <c r="H34" s="21">
        <v>1.627</v>
      </c>
      <c r="I34" s="21">
        <v>1.4930000000000001</v>
      </c>
      <c r="J34" s="21">
        <v>1.498</v>
      </c>
      <c r="K34" s="21">
        <v>1.5129999999999999</v>
      </c>
      <c r="L34" s="21">
        <v>1.486</v>
      </c>
      <c r="M34" s="21">
        <v>1.4850000000000001</v>
      </c>
      <c r="N34" s="21">
        <v>1.399</v>
      </c>
      <c r="O34" s="21">
        <v>1.397</v>
      </c>
      <c r="P34" s="21">
        <v>1.268</v>
      </c>
      <c r="Q34" s="21">
        <v>1.278</v>
      </c>
      <c r="R34" s="21">
        <v>1.3640000000000001</v>
      </c>
      <c r="S34" s="21">
        <v>1.363</v>
      </c>
      <c r="T34" s="21">
        <v>1.363</v>
      </c>
      <c r="U34" s="21">
        <v>1.363</v>
      </c>
      <c r="V34" s="21">
        <v>1.359</v>
      </c>
      <c r="W34" s="21">
        <v>1.3320000000000001</v>
      </c>
      <c r="X34" s="21">
        <v>1.331</v>
      </c>
      <c r="Y34" s="21">
        <v>1.454</v>
      </c>
      <c r="Z34" s="21">
        <v>1.452</v>
      </c>
      <c r="AA34" s="21">
        <v>1.4670000000000001</v>
      </c>
      <c r="AB34" s="21">
        <v>1.5529999999999999</v>
      </c>
      <c r="AC34" s="21">
        <v>1.613</v>
      </c>
      <c r="AD34" s="21">
        <v>1.599</v>
      </c>
      <c r="AE34" s="21">
        <v>1.7050000000000001</v>
      </c>
      <c r="AF34" s="21">
        <v>1.7070000000000001</v>
      </c>
      <c r="AG34" s="21"/>
      <c r="AH34" s="19">
        <f t="shared" si="0"/>
        <v>45.097999999999992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/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/>
      <c r="AH36" s="19">
        <f t="shared" si="0"/>
        <v>0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/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1E-3</v>
      </c>
      <c r="D38" s="21">
        <v>1E-3</v>
      </c>
      <c r="E38" s="21">
        <v>1E-3</v>
      </c>
      <c r="F38" s="21">
        <v>1E-3</v>
      </c>
      <c r="G38" s="21">
        <v>1E-3</v>
      </c>
      <c r="H38" s="21">
        <v>1E-3</v>
      </c>
      <c r="I38" s="21">
        <v>1E-3</v>
      </c>
      <c r="J38" s="21">
        <v>1E-3</v>
      </c>
      <c r="K38" s="21">
        <v>1E-3</v>
      </c>
      <c r="L38" s="21">
        <v>1E-3</v>
      </c>
      <c r="M38" s="21">
        <v>1E-3</v>
      </c>
      <c r="N38" s="21">
        <v>1E-3</v>
      </c>
      <c r="O38" s="21">
        <v>1E-3</v>
      </c>
      <c r="P38" s="21">
        <v>1E-3</v>
      </c>
      <c r="Q38" s="21">
        <v>1E-3</v>
      </c>
      <c r="R38" s="21">
        <v>1E-3</v>
      </c>
      <c r="S38" s="21">
        <v>1E-3</v>
      </c>
      <c r="T38" s="21">
        <v>1E-3</v>
      </c>
      <c r="U38" s="21">
        <v>1E-3</v>
      </c>
      <c r="V38" s="21">
        <v>1E-3</v>
      </c>
      <c r="W38" s="21">
        <v>1E-3</v>
      </c>
      <c r="X38" s="21">
        <v>1E-3</v>
      </c>
      <c r="Y38" s="21">
        <v>1E-3</v>
      </c>
      <c r="Z38" s="21">
        <v>1E-3</v>
      </c>
      <c r="AA38" s="21">
        <v>1E-3</v>
      </c>
      <c r="AB38" s="21">
        <v>1E-3</v>
      </c>
      <c r="AC38" s="21">
        <v>1E-3</v>
      </c>
      <c r="AD38" s="21">
        <v>1E-3</v>
      </c>
      <c r="AE38" s="21">
        <v>1E-3</v>
      </c>
      <c r="AF38" s="21">
        <v>1E-3</v>
      </c>
      <c r="AG38" s="21"/>
      <c r="AH38" s="19">
        <f t="shared" si="0"/>
        <v>3.000000000000002E-2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/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1E-3</v>
      </c>
      <c r="I40" s="21">
        <v>0</v>
      </c>
      <c r="J40" s="21">
        <v>1E-3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/>
      <c r="AH40" s="19">
        <f t="shared" si="0"/>
        <v>2E-3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/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1E-3</v>
      </c>
      <c r="D42" s="21">
        <v>1E-3</v>
      </c>
      <c r="E42" s="21">
        <v>1E-3</v>
      </c>
      <c r="F42" s="21">
        <v>1E-3</v>
      </c>
      <c r="G42" s="21">
        <v>1E-3</v>
      </c>
      <c r="H42" s="21">
        <v>0</v>
      </c>
      <c r="I42" s="21">
        <v>1E-3</v>
      </c>
      <c r="J42" s="21">
        <v>0</v>
      </c>
      <c r="K42" s="21">
        <v>1E-3</v>
      </c>
      <c r="L42" s="21">
        <v>1E-3</v>
      </c>
      <c r="M42" s="21">
        <v>1E-3</v>
      </c>
      <c r="N42" s="21">
        <v>1E-3</v>
      </c>
      <c r="O42" s="21">
        <v>1E-3</v>
      </c>
      <c r="P42" s="21">
        <v>1E-3</v>
      </c>
      <c r="Q42" s="21">
        <v>1E-3</v>
      </c>
      <c r="R42" s="21">
        <v>1E-3</v>
      </c>
      <c r="S42" s="21">
        <v>1E-3</v>
      </c>
      <c r="T42" s="21">
        <v>1E-3</v>
      </c>
      <c r="U42" s="21">
        <v>1E-3</v>
      </c>
      <c r="V42" s="21">
        <v>6.0999999999999999E-2</v>
      </c>
      <c r="W42" s="21">
        <v>1E-3</v>
      </c>
      <c r="X42" s="21">
        <v>1E-3</v>
      </c>
      <c r="Y42" s="21">
        <v>1E-3</v>
      </c>
      <c r="Z42" s="21">
        <v>1E-3</v>
      </c>
      <c r="AA42" s="21">
        <v>1E-3</v>
      </c>
      <c r="AB42" s="21">
        <v>1E-3</v>
      </c>
      <c r="AC42" s="21">
        <v>1E-3</v>
      </c>
      <c r="AD42" s="21">
        <v>1E-3</v>
      </c>
      <c r="AE42" s="21">
        <v>1E-3</v>
      </c>
      <c r="AF42" s="21">
        <v>1E-3</v>
      </c>
      <c r="AG42" s="21"/>
      <c r="AH42" s="19">
        <f t="shared" si="0"/>
        <v>8.8000000000000023E-2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/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1E-3</v>
      </c>
      <c r="D44" s="21">
        <v>1E-3</v>
      </c>
      <c r="E44" s="21">
        <v>1E-3</v>
      </c>
      <c r="F44" s="21">
        <v>1E-3</v>
      </c>
      <c r="G44" s="21">
        <v>1E-3</v>
      </c>
      <c r="H44" s="21">
        <v>1E-3</v>
      </c>
      <c r="I44" s="21">
        <v>1E-3</v>
      </c>
      <c r="J44" s="21">
        <v>1E-3</v>
      </c>
      <c r="K44" s="21">
        <v>1E-3</v>
      </c>
      <c r="L44" s="21">
        <v>1E-3</v>
      </c>
      <c r="M44" s="21">
        <v>1E-3</v>
      </c>
      <c r="N44" s="21">
        <v>1E-3</v>
      </c>
      <c r="O44" s="21">
        <v>1E-3</v>
      </c>
      <c r="P44" s="21">
        <v>1E-3</v>
      </c>
      <c r="Q44" s="21">
        <v>1E-3</v>
      </c>
      <c r="R44" s="21">
        <v>1E-3</v>
      </c>
      <c r="S44" s="21">
        <v>1E-3</v>
      </c>
      <c r="T44" s="21">
        <v>1E-3</v>
      </c>
      <c r="U44" s="21">
        <v>1E-3</v>
      </c>
      <c r="V44" s="21">
        <v>1E-3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/>
      <c r="AH44" s="19">
        <f t="shared" si="0"/>
        <v>2.0000000000000011E-2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/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1E-3</v>
      </c>
      <c r="X46" s="21">
        <v>1E-3</v>
      </c>
      <c r="Y46" s="21">
        <v>1E-3</v>
      </c>
      <c r="Z46" s="21">
        <v>1E-3</v>
      </c>
      <c r="AA46" s="21">
        <v>1E-3</v>
      </c>
      <c r="AB46" s="21">
        <v>1E-3</v>
      </c>
      <c r="AC46" s="21">
        <v>1E-3</v>
      </c>
      <c r="AD46" s="21">
        <v>1E-3</v>
      </c>
      <c r="AE46" s="21">
        <v>1E-3</v>
      </c>
      <c r="AF46" s="21">
        <v>1E-3</v>
      </c>
      <c r="AG46" s="21"/>
      <c r="AH46" s="19">
        <f t="shared" si="0"/>
        <v>1.0000000000000002E-2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/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1E-3</v>
      </c>
      <c r="D48" s="21">
        <v>1E-3</v>
      </c>
      <c r="E48" s="21">
        <v>1E-3</v>
      </c>
      <c r="F48" s="21">
        <v>1E-3</v>
      </c>
      <c r="G48" s="21">
        <v>1E-3</v>
      </c>
      <c r="H48" s="21">
        <v>1E-3</v>
      </c>
      <c r="I48" s="21">
        <v>1E-3</v>
      </c>
      <c r="J48" s="21">
        <v>1E-3</v>
      </c>
      <c r="K48" s="21">
        <v>1E-3</v>
      </c>
      <c r="L48" s="21">
        <v>1E-3</v>
      </c>
      <c r="M48" s="21">
        <v>1E-3</v>
      </c>
      <c r="N48" s="21">
        <v>1E-3</v>
      </c>
      <c r="O48" s="21">
        <v>1E-3</v>
      </c>
      <c r="P48" s="21">
        <v>1E-3</v>
      </c>
      <c r="Q48" s="21">
        <v>1E-3</v>
      </c>
      <c r="R48" s="21">
        <v>1E-3</v>
      </c>
      <c r="S48" s="21">
        <v>1E-3</v>
      </c>
      <c r="T48" s="21">
        <v>1E-3</v>
      </c>
      <c r="U48" s="21">
        <v>1E-3</v>
      </c>
      <c r="V48" s="21">
        <v>1E-3</v>
      </c>
      <c r="W48" s="21">
        <v>1E-3</v>
      </c>
      <c r="X48" s="21">
        <v>1E-3</v>
      </c>
      <c r="Y48" s="21">
        <v>1E-3</v>
      </c>
      <c r="Z48" s="21">
        <v>1E-3</v>
      </c>
      <c r="AA48" s="21">
        <v>1E-3</v>
      </c>
      <c r="AB48" s="21">
        <v>1E-3</v>
      </c>
      <c r="AC48" s="21">
        <v>1E-3</v>
      </c>
      <c r="AD48" s="21">
        <v>1E-3</v>
      </c>
      <c r="AE48" s="21">
        <v>1E-3</v>
      </c>
      <c r="AF48" s="21">
        <v>1E-3</v>
      </c>
      <c r="AG48" s="21"/>
      <c r="AH48" s="19">
        <f t="shared" si="0"/>
        <v>3.000000000000002E-2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/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/>
      <c r="AH50" s="19">
        <f t="shared" si="0"/>
        <v>0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/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1E-3</v>
      </c>
      <c r="D52" s="21">
        <v>1E-3</v>
      </c>
      <c r="E52" s="21">
        <v>1E-3</v>
      </c>
      <c r="F52" s="21">
        <v>1E-3</v>
      </c>
      <c r="G52" s="21">
        <v>1E-3</v>
      </c>
      <c r="H52" s="21">
        <v>1E-3</v>
      </c>
      <c r="I52" s="21">
        <v>1E-3</v>
      </c>
      <c r="J52" s="21">
        <v>1E-3</v>
      </c>
      <c r="K52" s="21">
        <v>1E-3</v>
      </c>
      <c r="L52" s="21">
        <v>1E-3</v>
      </c>
      <c r="M52" s="21">
        <v>1E-3</v>
      </c>
      <c r="N52" s="21">
        <v>1E-3</v>
      </c>
      <c r="O52" s="21">
        <v>1E-3</v>
      </c>
      <c r="P52" s="21">
        <v>1E-3</v>
      </c>
      <c r="Q52" s="21">
        <v>1E-3</v>
      </c>
      <c r="R52" s="21">
        <v>1E-3</v>
      </c>
      <c r="S52" s="21">
        <v>1E-3</v>
      </c>
      <c r="T52" s="21">
        <v>1E-3</v>
      </c>
      <c r="U52" s="21">
        <v>1E-3</v>
      </c>
      <c r="V52" s="21">
        <v>1E-3</v>
      </c>
      <c r="W52" s="21">
        <v>1E-3</v>
      </c>
      <c r="X52" s="21">
        <v>1E-3</v>
      </c>
      <c r="Y52" s="21">
        <v>1E-3</v>
      </c>
      <c r="Z52" s="21">
        <v>1E-3</v>
      </c>
      <c r="AA52" s="21">
        <v>1E-3</v>
      </c>
      <c r="AB52" s="21">
        <v>1E-3</v>
      </c>
      <c r="AC52" s="21">
        <v>1E-3</v>
      </c>
      <c r="AD52" s="21">
        <v>1E-3</v>
      </c>
      <c r="AE52" s="21">
        <v>1E-3</v>
      </c>
      <c r="AF52" s="21">
        <v>1E-3</v>
      </c>
      <c r="AG52" s="21"/>
      <c r="AH52" s="19">
        <f t="shared" si="0"/>
        <v>3.000000000000002E-2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/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/>
      <c r="AH54" s="19">
        <f t="shared" si="0"/>
        <v>0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/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1E-3</v>
      </c>
      <c r="D56" s="21">
        <v>1E-3</v>
      </c>
      <c r="E56" s="21">
        <v>1E-3</v>
      </c>
      <c r="F56" s="21">
        <v>1E-3</v>
      </c>
      <c r="G56" s="21">
        <v>1E-3</v>
      </c>
      <c r="H56" s="21">
        <v>1E-3</v>
      </c>
      <c r="I56" s="21">
        <v>1E-3</v>
      </c>
      <c r="J56" s="21">
        <v>1E-3</v>
      </c>
      <c r="K56" s="21">
        <v>1E-3</v>
      </c>
      <c r="L56" s="21">
        <v>1E-3</v>
      </c>
      <c r="M56" s="21">
        <v>1E-3</v>
      </c>
      <c r="N56" s="21">
        <v>1E-3</v>
      </c>
      <c r="O56" s="21">
        <v>1E-3</v>
      </c>
      <c r="P56" s="21">
        <v>1E-3</v>
      </c>
      <c r="Q56" s="21">
        <v>1E-3</v>
      </c>
      <c r="R56" s="21">
        <v>1E-3</v>
      </c>
      <c r="S56" s="21">
        <v>1E-3</v>
      </c>
      <c r="T56" s="21">
        <v>1E-3</v>
      </c>
      <c r="U56" s="21">
        <v>1E-3</v>
      </c>
      <c r="V56" s="21">
        <v>1E-3</v>
      </c>
      <c r="W56" s="21">
        <v>1E-3</v>
      </c>
      <c r="X56" s="21">
        <v>1E-3</v>
      </c>
      <c r="Y56" s="21">
        <v>1E-3</v>
      </c>
      <c r="Z56" s="21">
        <v>1E-3</v>
      </c>
      <c r="AA56" s="21">
        <v>1E-3</v>
      </c>
      <c r="AB56" s="21">
        <v>1E-3</v>
      </c>
      <c r="AC56" s="21">
        <v>1E-3</v>
      </c>
      <c r="AD56" s="21">
        <v>1E-3</v>
      </c>
      <c r="AE56" s="21">
        <v>1E-3</v>
      </c>
      <c r="AF56" s="21">
        <v>1E-3</v>
      </c>
      <c r="AG56" s="21"/>
      <c r="AH56" s="19">
        <f t="shared" si="0"/>
        <v>3.000000000000002E-2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/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/>
      <c r="AH58" s="19">
        <f t="shared" si="0"/>
        <v>0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/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1E-3</v>
      </c>
      <c r="D60" s="21">
        <v>1E-3</v>
      </c>
      <c r="E60" s="21">
        <v>1E-3</v>
      </c>
      <c r="F60" s="21">
        <v>1E-3</v>
      </c>
      <c r="G60" s="21">
        <v>1E-3</v>
      </c>
      <c r="H60" s="21">
        <v>1E-3</v>
      </c>
      <c r="I60" s="21">
        <v>1E-3</v>
      </c>
      <c r="J60" s="21">
        <v>1E-3</v>
      </c>
      <c r="K60" s="21">
        <v>1E-3</v>
      </c>
      <c r="L60" s="21">
        <v>1E-3</v>
      </c>
      <c r="M60" s="21">
        <v>1E-3</v>
      </c>
      <c r="N60" s="21">
        <v>1E-3</v>
      </c>
      <c r="O60" s="21">
        <v>1E-3</v>
      </c>
      <c r="P60" s="21">
        <v>1E-3</v>
      </c>
      <c r="Q60" s="21">
        <v>1E-3</v>
      </c>
      <c r="R60" s="21">
        <v>1E-3</v>
      </c>
      <c r="S60" s="21">
        <v>1E-3</v>
      </c>
      <c r="T60" s="21">
        <v>1E-3</v>
      </c>
      <c r="U60" s="21">
        <v>1E-3</v>
      </c>
      <c r="V60" s="21">
        <v>1E-3</v>
      </c>
      <c r="W60" s="21">
        <v>1E-3</v>
      </c>
      <c r="X60" s="21">
        <v>1E-3</v>
      </c>
      <c r="Y60" s="21">
        <v>1E-3</v>
      </c>
      <c r="Z60" s="21">
        <v>1E-3</v>
      </c>
      <c r="AA60" s="21">
        <v>1E-3</v>
      </c>
      <c r="AB60" s="21">
        <v>1E-3</v>
      </c>
      <c r="AC60" s="21">
        <v>1E-3</v>
      </c>
      <c r="AD60" s="21">
        <v>1E-3</v>
      </c>
      <c r="AE60" s="21">
        <v>1E-3</v>
      </c>
      <c r="AF60" s="21">
        <v>1E-3</v>
      </c>
      <c r="AG60" s="21"/>
      <c r="AH60" s="19">
        <f t="shared" si="0"/>
        <v>3.000000000000002E-2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/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1E-3</v>
      </c>
      <c r="D62" s="21">
        <v>0</v>
      </c>
      <c r="E62" s="21">
        <v>1E-3</v>
      </c>
      <c r="F62" s="21">
        <v>0</v>
      </c>
      <c r="G62" s="21">
        <v>1E-3</v>
      </c>
      <c r="H62" s="21">
        <v>1E-3</v>
      </c>
      <c r="I62" s="21">
        <v>1E-3</v>
      </c>
      <c r="J62" s="21">
        <v>1E-3</v>
      </c>
      <c r="K62" s="21">
        <v>1E-3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/>
      <c r="AH62" s="19">
        <f t="shared" si="0"/>
        <v>7.0000000000000001E-3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/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5.6769999999999996</v>
      </c>
      <c r="D64" s="21">
        <v>5.5529999999999999</v>
      </c>
      <c r="E64" s="21">
        <v>5.4930000000000003</v>
      </c>
      <c r="F64" s="21">
        <v>5.367</v>
      </c>
      <c r="G64" s="21">
        <v>5.3719999999999999</v>
      </c>
      <c r="H64" s="21">
        <v>5.3380000000000001</v>
      </c>
      <c r="I64" s="21">
        <v>5.3620000000000001</v>
      </c>
      <c r="J64" s="21">
        <v>5.1580000000000004</v>
      </c>
      <c r="K64" s="21">
        <v>5.0640000000000001</v>
      </c>
      <c r="L64" s="21">
        <v>5.1040000000000001</v>
      </c>
      <c r="M64" s="21">
        <v>5.4989999999999997</v>
      </c>
      <c r="N64" s="21">
        <v>5.468</v>
      </c>
      <c r="O64" s="21">
        <v>4.7750000000000004</v>
      </c>
      <c r="P64" s="21">
        <v>4.7069999999999999</v>
      </c>
      <c r="Q64" s="21">
        <v>4.5590000000000002</v>
      </c>
      <c r="R64" s="21">
        <v>4.4459999999999997</v>
      </c>
      <c r="S64" s="21">
        <v>4.3739999999999997</v>
      </c>
      <c r="T64" s="21">
        <v>4.3929999999999998</v>
      </c>
      <c r="U64" s="21">
        <v>4.2699999999999996</v>
      </c>
      <c r="V64" s="21">
        <v>4.2069999999999999</v>
      </c>
      <c r="W64" s="21">
        <v>4.319</v>
      </c>
      <c r="X64" s="21">
        <v>4.3209999999999997</v>
      </c>
      <c r="Y64" s="21">
        <v>4.1360000000000001</v>
      </c>
      <c r="Z64" s="21">
        <v>4.1109999999999998</v>
      </c>
      <c r="AA64" s="21">
        <v>4.1459999999999999</v>
      </c>
      <c r="AB64" s="21">
        <v>4.2649999999999997</v>
      </c>
      <c r="AC64" s="21">
        <v>4.2510000000000003</v>
      </c>
      <c r="AD64" s="21">
        <v>4.327</v>
      </c>
      <c r="AE64" s="21">
        <v>4.3419999999999996</v>
      </c>
      <c r="AF64" s="21">
        <v>4.3689999999999998</v>
      </c>
      <c r="AG64" s="21"/>
      <c r="AH64" s="19">
        <f t="shared" si="0"/>
        <v>142.773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/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6.9249999999999998</v>
      </c>
      <c r="D66" s="21">
        <v>6.867</v>
      </c>
      <c r="E66" s="21">
        <v>6.94</v>
      </c>
      <c r="F66" s="21">
        <v>6.8929999999999998</v>
      </c>
      <c r="G66" s="21">
        <v>6.9020000000000001</v>
      </c>
      <c r="H66" s="21">
        <v>7.0289999999999999</v>
      </c>
      <c r="I66" s="21">
        <v>7.0140000000000002</v>
      </c>
      <c r="J66" s="21">
        <v>6.89</v>
      </c>
      <c r="K66" s="21">
        <v>6.9009999999999998</v>
      </c>
      <c r="L66" s="21">
        <v>6.9950000000000001</v>
      </c>
      <c r="M66" s="21">
        <v>6.5679999999999996</v>
      </c>
      <c r="N66" s="21">
        <v>6.7220000000000004</v>
      </c>
      <c r="O66" s="21">
        <v>6.62</v>
      </c>
      <c r="P66" s="21">
        <v>6.6210000000000004</v>
      </c>
      <c r="Q66" s="21">
        <v>6.4980000000000002</v>
      </c>
      <c r="R66" s="21">
        <v>6.5140000000000002</v>
      </c>
      <c r="S66" s="21">
        <v>6.4480000000000004</v>
      </c>
      <c r="T66" s="21">
        <v>6.4269999999999996</v>
      </c>
      <c r="U66" s="21">
        <v>6.3929999999999998</v>
      </c>
      <c r="V66" s="21">
        <v>6.3860000000000001</v>
      </c>
      <c r="W66" s="21">
        <v>6.5279999999999996</v>
      </c>
      <c r="X66" s="21">
        <v>6.4580000000000002</v>
      </c>
      <c r="Y66" s="21">
        <v>6.3620000000000001</v>
      </c>
      <c r="Z66" s="21">
        <v>6.4189999999999996</v>
      </c>
      <c r="AA66" s="21">
        <v>6.34</v>
      </c>
      <c r="AB66" s="21">
        <v>6.524</v>
      </c>
      <c r="AC66" s="21">
        <v>6.5540000000000003</v>
      </c>
      <c r="AD66" s="21">
        <v>6.6040000000000001</v>
      </c>
      <c r="AE66" s="21">
        <v>6.6210000000000004</v>
      </c>
      <c r="AF66" s="21">
        <v>6.6539999999999999</v>
      </c>
      <c r="AG66" s="21"/>
      <c r="AH66" s="19">
        <f t="shared" si="0"/>
        <v>199.61700000000002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/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6.9829999999999997</v>
      </c>
      <c r="D68" s="21">
        <v>6.9980000000000002</v>
      </c>
      <c r="E68" s="21">
        <v>7.0460000000000003</v>
      </c>
      <c r="F68" s="21">
        <v>7.0469999999999997</v>
      </c>
      <c r="G68" s="21">
        <v>6.9550000000000001</v>
      </c>
      <c r="H68" s="21">
        <v>7.12</v>
      </c>
      <c r="I68" s="21">
        <v>7.1029999999999998</v>
      </c>
      <c r="J68" s="21">
        <v>6.9749999999999996</v>
      </c>
      <c r="K68" s="21">
        <v>7.0369999999999999</v>
      </c>
      <c r="L68" s="21">
        <v>7.1050000000000004</v>
      </c>
      <c r="M68" s="21">
        <v>6.6440000000000001</v>
      </c>
      <c r="N68" s="21">
        <v>6.7489999999999997</v>
      </c>
      <c r="O68" s="21">
        <v>6.7009999999999996</v>
      </c>
      <c r="P68" s="21">
        <v>6.7039999999999997</v>
      </c>
      <c r="Q68" s="21">
        <v>6.617</v>
      </c>
      <c r="R68" s="21">
        <v>6.5720000000000001</v>
      </c>
      <c r="S68" s="21">
        <v>6.5659999999999998</v>
      </c>
      <c r="T68" s="21">
        <v>6.4950000000000001</v>
      </c>
      <c r="U68" s="21">
        <v>6.4470000000000001</v>
      </c>
      <c r="V68" s="21">
        <v>6.4580000000000002</v>
      </c>
      <c r="W68" s="21">
        <v>6.5629999999999997</v>
      </c>
      <c r="X68" s="21">
        <v>6.5419999999999998</v>
      </c>
      <c r="Y68" s="21">
        <v>6.4429999999999996</v>
      </c>
      <c r="Z68" s="21">
        <v>6.516</v>
      </c>
      <c r="AA68" s="21">
        <v>6.44</v>
      </c>
      <c r="AB68" s="21">
        <v>6.5789999999999997</v>
      </c>
      <c r="AC68" s="21">
        <v>6.6219999999999999</v>
      </c>
      <c r="AD68" s="21">
        <v>6.6779999999999999</v>
      </c>
      <c r="AE68" s="21">
        <v>6.6890000000000001</v>
      </c>
      <c r="AF68" s="21">
        <v>6.7210000000000001</v>
      </c>
      <c r="AG68" s="21"/>
      <c r="AH68" s="19">
        <f t="shared" si="0"/>
        <v>202.11499999999998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/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7.0430000000000001</v>
      </c>
      <c r="D70" s="21">
        <v>7.0869999999999997</v>
      </c>
      <c r="E70" s="21">
        <v>7.0730000000000004</v>
      </c>
      <c r="F70" s="21">
        <v>7.0110000000000001</v>
      </c>
      <c r="G70" s="21">
        <v>7.0229999999999997</v>
      </c>
      <c r="H70" s="21">
        <v>7.1440000000000001</v>
      </c>
      <c r="I70" s="21">
        <v>7.13</v>
      </c>
      <c r="J70" s="21">
        <v>7.04</v>
      </c>
      <c r="K70" s="21">
        <v>7.1349999999999998</v>
      </c>
      <c r="L70" s="21">
        <v>7.0940000000000003</v>
      </c>
      <c r="M70" s="21">
        <v>6.6749999999999998</v>
      </c>
      <c r="N70" s="21">
        <v>6.7750000000000004</v>
      </c>
      <c r="O70" s="21">
        <v>6.742</v>
      </c>
      <c r="P70" s="21">
        <v>6.6920000000000002</v>
      </c>
      <c r="Q70" s="21">
        <v>6.7</v>
      </c>
      <c r="R70" s="21">
        <v>6.6120000000000001</v>
      </c>
      <c r="S70" s="21">
        <v>6.5839999999999996</v>
      </c>
      <c r="T70" s="21">
        <v>6.569</v>
      </c>
      <c r="U70" s="21">
        <v>6.508</v>
      </c>
      <c r="V70" s="21">
        <v>6.5380000000000003</v>
      </c>
      <c r="W70" s="21">
        <v>6.6319999999999997</v>
      </c>
      <c r="X70" s="21">
        <v>6.5970000000000004</v>
      </c>
      <c r="Y70" s="21">
        <v>6.5069999999999997</v>
      </c>
      <c r="Z70" s="21">
        <v>6.5880000000000001</v>
      </c>
      <c r="AA70" s="21">
        <v>6.5</v>
      </c>
      <c r="AB70" s="21">
        <v>6.673</v>
      </c>
      <c r="AC70" s="21">
        <v>6.6840000000000002</v>
      </c>
      <c r="AD70" s="21">
        <v>6.7409999999999997</v>
      </c>
      <c r="AE70" s="21">
        <v>6.758</v>
      </c>
      <c r="AF70" s="21">
        <v>6.6950000000000003</v>
      </c>
      <c r="AG70" s="21"/>
      <c r="AH70" s="19">
        <f t="shared" si="0"/>
        <v>203.55000000000004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64.492999999999981</v>
      </c>
      <c r="D72" s="19">
        <f t="shared" ref="D72:AG72" si="2">SUM(D24,D26,D28,D30,D32,D34,D36,D38,D40,D42,D44,D46,D48,D50,D52,D54,D56,D58,D60,D62,D64,D66,D68,D70)</f>
        <v>64.157999999999973</v>
      </c>
      <c r="E72" s="19">
        <f t="shared" si="2"/>
        <v>64.025999999999982</v>
      </c>
      <c r="F72" s="19">
        <f t="shared" si="2"/>
        <v>63.875999999999983</v>
      </c>
      <c r="G72" s="19">
        <f t="shared" si="2"/>
        <v>64.002999999999986</v>
      </c>
      <c r="H72" s="19">
        <f t="shared" si="2"/>
        <v>64.220999999999975</v>
      </c>
      <c r="I72" s="19">
        <f t="shared" si="2"/>
        <v>64.024999999999991</v>
      </c>
      <c r="J72" s="19">
        <f t="shared" si="2"/>
        <v>63.564999999999976</v>
      </c>
      <c r="K72" s="19">
        <f t="shared" si="2"/>
        <v>63.767999999999972</v>
      </c>
      <c r="L72" s="19">
        <f t="shared" si="2"/>
        <v>63.665999999999976</v>
      </c>
      <c r="M72" s="19">
        <f t="shared" si="2"/>
        <v>62.802999999999976</v>
      </c>
      <c r="N72" s="19">
        <f t="shared" si="2"/>
        <v>60.755999999999993</v>
      </c>
      <c r="O72" s="19">
        <f t="shared" si="2"/>
        <v>60.371999999999971</v>
      </c>
      <c r="P72" s="19">
        <f t="shared" si="2"/>
        <v>59.762999999999984</v>
      </c>
      <c r="Q72" s="19">
        <f t="shared" si="2"/>
        <v>59.406999999999975</v>
      </c>
      <c r="R72" s="19">
        <f t="shared" si="2"/>
        <v>59.327999999999989</v>
      </c>
      <c r="S72" s="19">
        <f t="shared" si="2"/>
        <v>58.823999999999984</v>
      </c>
      <c r="T72" s="19">
        <f t="shared" si="2"/>
        <v>58.563999999999986</v>
      </c>
      <c r="U72" s="19">
        <f t="shared" si="2"/>
        <v>58.429999999999986</v>
      </c>
      <c r="V72" s="19">
        <f t="shared" si="2"/>
        <v>58.323999999999984</v>
      </c>
      <c r="W72" s="19">
        <f t="shared" si="2"/>
        <v>58.392999999999986</v>
      </c>
      <c r="X72" s="19">
        <f t="shared" si="2"/>
        <v>58.268999999999991</v>
      </c>
      <c r="Y72" s="19">
        <f t="shared" si="2"/>
        <v>58.318999999999988</v>
      </c>
      <c r="Z72" s="19">
        <f t="shared" si="2"/>
        <v>58.235999999999976</v>
      </c>
      <c r="AA72" s="19">
        <f t="shared" si="2"/>
        <v>58.306999999999988</v>
      </c>
      <c r="AB72" s="19">
        <f t="shared" si="2"/>
        <v>58.676999999999985</v>
      </c>
      <c r="AC72" s="19">
        <f t="shared" si="2"/>
        <v>60.117999999999981</v>
      </c>
      <c r="AD72" s="19">
        <f t="shared" si="2"/>
        <v>59.707999999999977</v>
      </c>
      <c r="AE72" s="19">
        <f t="shared" si="2"/>
        <v>60.135999999999981</v>
      </c>
      <c r="AF72" s="19">
        <f t="shared" si="2"/>
        <v>60.273999999999994</v>
      </c>
      <c r="AG72" s="19">
        <f t="shared" si="2"/>
        <v>0</v>
      </c>
      <c r="AH72" s="19">
        <f>SUM(C72:AG72)</f>
        <v>1826.8089999999995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1195.9670000000001</v>
      </c>
      <c r="X75" s="43"/>
      <c r="Y75" s="43"/>
      <c r="Z75" s="43"/>
      <c r="AA75" s="43">
        <v>1320.5409999999999</v>
      </c>
      <c r="AB75" s="43"/>
      <c r="AC75" s="43">
        <v>1.2749999999999999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3022.7759999999998</v>
      </c>
      <c r="X76" s="43"/>
      <c r="Y76" s="43"/>
      <c r="Z76" s="43"/>
      <c r="AA76" s="43">
        <v>3316.308</v>
      </c>
      <c r="AB76" s="43"/>
      <c r="AC76" s="43">
        <v>3.371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9.1519999999999992</v>
      </c>
      <c r="S77" s="43"/>
      <c r="U77" s="49" t="s">
        <v>48</v>
      </c>
      <c r="V77" s="51"/>
      <c r="W77" s="43">
        <v>1826.809</v>
      </c>
      <c r="X77" s="43"/>
      <c r="Y77" s="43">
        <v>0</v>
      </c>
      <c r="Z77" s="43"/>
      <c r="AA77" s="43">
        <v>1995.7670000000001</v>
      </c>
      <c r="AB77" s="43"/>
      <c r="AC77" s="43">
        <v>2.0960000000000001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1826.8089999999995</v>
      </c>
      <c r="X78" s="43"/>
      <c r="Y78" s="43">
        <f>AH71</f>
        <v>0</v>
      </c>
      <c r="Z78" s="43"/>
      <c r="AA78" s="43">
        <v>1995.7670000000001</v>
      </c>
      <c r="AB78" s="43"/>
      <c r="AC78" s="43">
        <v>2.0960000000000001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0</v>
      </c>
      <c r="X79" s="43"/>
      <c r="Y79" s="43">
        <f>Y77-Y78</f>
        <v>0</v>
      </c>
      <c r="Z79" s="43"/>
      <c r="AA79" s="43">
        <v>0</v>
      </c>
      <c r="AB79" s="43"/>
      <c r="AC79" s="43">
        <v>0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0</v>
      </c>
      <c r="X80" s="52"/>
      <c r="Y80" s="52">
        <f>IF(Y77&gt;0,Y79/Y77,0)</f>
        <v>0</v>
      </c>
      <c r="Z80" s="52"/>
      <c r="AA80" s="48">
        <v>0</v>
      </c>
      <c r="AB80" s="48"/>
      <c r="AC80" s="48">
        <v>0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2026-02-13T11:18:36Z</dcterms:modified>
</cp:coreProperties>
</file>