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D4172495-1D35-4EB2-8E98-C494527E8028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H72" i="3"/>
  <c r="W78" i="3" s="1"/>
  <c r="W79" i="3" s="1"/>
  <c r="W80" i="3" s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AH71" i="3" s="1"/>
  <c r="Y78" i="3" s="1"/>
  <c r="Y79" i="3" s="1"/>
  <c r="C71" i="3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<sst xmlns="http://schemas.openxmlformats.org/spreadsheetml/2006/main" count="144" uniqueCount="82">
  <si>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</si>
  <si>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</si>
  <si>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</si>
  <si>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</si>
  <si>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</si>
  <si>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</si>
  <si>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</si>
  <si>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</si>
  <si>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</si>
  <si>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</si>
  <si>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</si>
  <si>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</si>
  <si>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</si>
  <si>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</si>
  <si>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</si>
  <si>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</si>
  <si>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</si>
  <si>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</si>
  <si>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</si>
  <si>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</si>
  <si>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</si>
  <si>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</si>
  <si>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</si>
  <si>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</si>
  <si>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</si>
  <si>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</si>
  <si>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</si>
  <si>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</si>
  <si>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</si>
  <si>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</si>
  <si>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</si>
  <si>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</si>
  <si>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</si>
  <si>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</si>
  <si>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</si>
  <si>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</si>
  <si>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</si>
  <si>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</si>
  <si>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</si>
  <si>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</si>
  <si>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</si>
  <si>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</si>
  <si>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</si>
  <si>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</si>
  <si>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</si>
  <si>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</si>
  <si>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</si>
  <si>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</si>
  <si>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</si>
  <si>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</si>
  <si>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</si>
  <si>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</si>
  <si>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</si>
  <si>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</si>
  <si>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</si>
  <si>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</si>
  <si>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</si>
  <si>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</si>
  <si>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</si>
  <si>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</si>
  <si>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</si>
  <si>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</si>
  <si>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</si>
  <si>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</si>
  <si>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</si>
  <si>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</si>
  <si>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</si>
  <si>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</si>
  <si>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</si>
  <si>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</si>
  <si>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</si>
  <si>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</si>
  <si>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</si>
  <si>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</si>
  <si>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</si>
  <si>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</si>
  <si>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</si>
  <si>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</si>
  <si>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</si>
  <si>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10/2025</t>
  </si>
  <si>
    <t>Cadde-Sokak</t>
  </si>
  <si>
    <t>01/10/2025 04:03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</si>
</sst>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8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7.3470000000000004</v>
      </c>
      <c r="D24" s="21">
        <v>6.68</v>
      </c>
      <c r="E24" s="21">
        <v>6.4710000000000001</v>
      </c>
      <c r="F24" s="21">
        <v>6.4109999999999996</v>
      </c>
      <c r="G24" s="21">
        <v>6.4569999999999999</v>
      </c>
      <c r="H24" s="21">
        <v>6.1970000000000001</v>
      </c>
      <c r="I24" s="21">
        <v>6.7240000000000002</v>
      </c>
      <c r="J24" s="21">
        <v>6.6159999999999997</v>
      </c>
      <c r="K24" s="21">
        <v>6.6079999999999997</v>
      </c>
      <c r="L24" s="21">
        <v>6.6310000000000002</v>
      </c>
      <c r="M24" s="21">
        <v>6.665</v>
      </c>
      <c r="N24" s="21">
        <v>6.7140000000000004</v>
      </c>
      <c r="O24" s="21">
        <v>6.7320000000000002</v>
      </c>
      <c r="P24" s="21">
        <v>6.6210000000000004</v>
      </c>
      <c r="Q24" s="21">
        <v>6.6550000000000002</v>
      </c>
      <c r="R24" s="21">
        <v>6.6559999999999997</v>
      </c>
      <c r="S24" s="21">
        <v>5.7759999999999998</v>
      </c>
      <c r="T24" s="21">
        <v>6.6710000000000003</v>
      </c>
      <c r="U24" s="21">
        <v>6.6159999999999997</v>
      </c>
      <c r="V24" s="21">
        <v>6.7770000000000001</v>
      </c>
      <c r="W24" s="21">
        <v>6.6529999999999996</v>
      </c>
      <c r="X24" s="21">
        <v>6.6920000000000002</v>
      </c>
      <c r="Y24" s="21">
        <v>6.7</v>
      </c>
      <c r="Z24" s="21">
        <v>6.6020000000000003</v>
      </c>
      <c r="AA24" s="21">
        <v>6.5510000000000002</v>
      </c>
      <c r="AB24" s="21">
        <v>6.6390000000000002</v>
      </c>
      <c r="AC24" s="21">
        <v>6.665</v>
      </c>
      <c r="AD24" s="21">
        <v>6.6479999999999997</v>
      </c>
      <c r="AE24" s="21">
        <v>6.633</v>
      </c>
      <c r="AF24" s="21">
        <v>6.6790000000000003</v>
      </c>
      <c r="AG24" s="21">
        <v>6.6980000000000004</v>
      </c>
      <c r="AH24" s="19">
        <f t="shared" ref="AH24:AH70" si="0">SUM(C24:AG24)</f>
        <v>205.185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7.42</v>
      </c>
      <c r="D26" s="21">
        <v>6.7279999999999998</v>
      </c>
      <c r="E26" s="21">
        <v>6.5369999999999999</v>
      </c>
      <c r="F26" s="21">
        <v>6.5129999999999999</v>
      </c>
      <c r="G26" s="21">
        <v>6.7530000000000001</v>
      </c>
      <c r="H26" s="21">
        <v>6.2789999999999999</v>
      </c>
      <c r="I26" s="21">
        <v>6.8159999999999998</v>
      </c>
      <c r="J26" s="21">
        <v>6.7080000000000002</v>
      </c>
      <c r="K26" s="21">
        <v>6.6870000000000003</v>
      </c>
      <c r="L26" s="21">
        <v>6.6820000000000004</v>
      </c>
      <c r="M26" s="21">
        <v>6.7969999999999997</v>
      </c>
      <c r="N26" s="21">
        <v>6.7939999999999996</v>
      </c>
      <c r="O26" s="21">
        <v>6.8239999999999998</v>
      </c>
      <c r="P26" s="21">
        <v>6.6619999999999999</v>
      </c>
      <c r="Q26" s="21">
        <v>6.7080000000000002</v>
      </c>
      <c r="R26" s="21">
        <v>6.7619999999999996</v>
      </c>
      <c r="S26" s="21">
        <v>5.8029999999999999</v>
      </c>
      <c r="T26" s="21">
        <v>6.673</v>
      </c>
      <c r="U26" s="21">
        <v>6.72</v>
      </c>
      <c r="V26" s="21">
        <v>6.8140000000000001</v>
      </c>
      <c r="W26" s="21">
        <v>6.7519999999999998</v>
      </c>
      <c r="X26" s="21">
        <v>6.7670000000000003</v>
      </c>
      <c r="Y26" s="21">
        <v>6.7469999999999999</v>
      </c>
      <c r="Z26" s="21">
        <v>6.6740000000000004</v>
      </c>
      <c r="AA26" s="21">
        <v>6.6379999999999999</v>
      </c>
      <c r="AB26" s="21">
        <v>6.7629999999999999</v>
      </c>
      <c r="AC26" s="21">
        <v>6.6760000000000002</v>
      </c>
      <c r="AD26" s="21">
        <v>6.7140000000000004</v>
      </c>
      <c r="AE26" s="21">
        <v>6.6859999999999999</v>
      </c>
      <c r="AF26" s="21">
        <v>6.75</v>
      </c>
      <c r="AG26" s="21">
        <v>6.7750000000000004</v>
      </c>
      <c r="AH26" s="19">
        <f t="shared" si="0"/>
        <v>207.62200000000004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7.5019999999999998</v>
      </c>
      <c r="D28" s="21">
        <v>6.7759999999999998</v>
      </c>
      <c r="E28" s="21">
        <v>5.3109999999999999</v>
      </c>
      <c r="F28" s="21">
        <v>6.468</v>
      </c>
      <c r="G28" s="21">
        <v>6.8040000000000003</v>
      </c>
      <c r="H28" s="21">
        <v>6.3380000000000001</v>
      </c>
      <c r="I28" s="21">
        <v>6.7469999999999999</v>
      </c>
      <c r="J28" s="21">
        <v>6.7809999999999997</v>
      </c>
      <c r="K28" s="21">
        <v>6.734</v>
      </c>
      <c r="L28" s="21">
        <v>6.7439999999999998</v>
      </c>
      <c r="M28" s="21">
        <v>6.8259999999999996</v>
      </c>
      <c r="N28" s="21">
        <v>6.8449999999999998</v>
      </c>
      <c r="O28" s="21">
        <v>6.907</v>
      </c>
      <c r="P28" s="21">
        <v>6.7130000000000001</v>
      </c>
      <c r="Q28" s="21">
        <v>6.7430000000000003</v>
      </c>
      <c r="R28" s="21">
        <v>6.7290000000000001</v>
      </c>
      <c r="S28" s="21">
        <v>5.8419999999999996</v>
      </c>
      <c r="T28" s="21">
        <v>6.7530000000000001</v>
      </c>
      <c r="U28" s="21">
        <v>6.7249999999999996</v>
      </c>
      <c r="V28" s="21">
        <v>6.7729999999999997</v>
      </c>
      <c r="W28" s="21">
        <v>6.7869999999999999</v>
      </c>
      <c r="X28" s="21">
        <v>6.79</v>
      </c>
      <c r="Y28" s="21">
        <v>6.8019999999999996</v>
      </c>
      <c r="Z28" s="21">
        <v>6.74</v>
      </c>
      <c r="AA28" s="21">
        <v>6.7249999999999996</v>
      </c>
      <c r="AB28" s="21">
        <v>6.8419999999999996</v>
      </c>
      <c r="AC28" s="21">
        <v>6.7389999999999999</v>
      </c>
      <c r="AD28" s="21">
        <v>6.8070000000000004</v>
      </c>
      <c r="AE28" s="21">
        <v>6.726</v>
      </c>
      <c r="AF28" s="21">
        <v>6.8369999999999997</v>
      </c>
      <c r="AG28" s="21">
        <v>6.7309999999999999</v>
      </c>
      <c r="AH28" s="19">
        <f t="shared" si="0"/>
        <v>207.58699999999996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7.5410000000000004</v>
      </c>
      <c r="D30" s="21">
        <v>6.835</v>
      </c>
      <c r="E30" s="21">
        <v>5.4009999999999998</v>
      </c>
      <c r="F30" s="21">
        <v>6.4960000000000004</v>
      </c>
      <c r="G30" s="21">
        <v>6.718</v>
      </c>
      <c r="H30" s="21">
        <v>6.3689999999999998</v>
      </c>
      <c r="I30" s="21">
        <v>6.7629999999999999</v>
      </c>
      <c r="J30" s="21">
        <v>6.7949999999999999</v>
      </c>
      <c r="K30" s="21">
        <v>6.7590000000000003</v>
      </c>
      <c r="L30" s="21">
        <v>6.7750000000000004</v>
      </c>
      <c r="M30" s="21">
        <v>6.8470000000000004</v>
      </c>
      <c r="N30" s="21">
        <v>6.8949999999999996</v>
      </c>
      <c r="O30" s="21">
        <v>6.8819999999999997</v>
      </c>
      <c r="P30" s="21">
        <v>6.734</v>
      </c>
      <c r="Q30" s="21">
        <v>6.7039999999999997</v>
      </c>
      <c r="R30" s="21">
        <v>6.734</v>
      </c>
      <c r="S30" s="21">
        <v>5.819</v>
      </c>
      <c r="T30" s="21">
        <v>6.8090000000000002</v>
      </c>
      <c r="U30" s="21">
        <v>6.7460000000000004</v>
      </c>
      <c r="V30" s="21">
        <v>6.758</v>
      </c>
      <c r="W30" s="21">
        <v>6.7919999999999998</v>
      </c>
      <c r="X30" s="21">
        <v>6.7770000000000001</v>
      </c>
      <c r="Y30" s="21">
        <v>6.7060000000000004</v>
      </c>
      <c r="Z30" s="21">
        <v>6.7809999999999997</v>
      </c>
      <c r="AA30" s="21">
        <v>6.69</v>
      </c>
      <c r="AB30" s="21">
        <v>6.835</v>
      </c>
      <c r="AC30" s="21">
        <v>6.7969999999999997</v>
      </c>
      <c r="AD30" s="21">
        <v>6.8239999999999998</v>
      </c>
      <c r="AE30" s="21">
        <v>6.742</v>
      </c>
      <c r="AF30" s="21">
        <v>6.7910000000000004</v>
      </c>
      <c r="AG30" s="21">
        <v>6.7720000000000002</v>
      </c>
      <c r="AH30" s="19">
        <f t="shared" si="0"/>
        <v>207.88699999999994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7.5419999999999998</v>
      </c>
      <c r="D32" s="21">
        <v>6.8330000000000002</v>
      </c>
      <c r="E32" s="21">
        <v>5.5279999999999996</v>
      </c>
      <c r="F32" s="21">
        <v>6.5119999999999996</v>
      </c>
      <c r="G32" s="21">
        <v>6.7590000000000003</v>
      </c>
      <c r="H32" s="21">
        <v>6.3719999999999999</v>
      </c>
      <c r="I32" s="21">
        <v>6.8129999999999997</v>
      </c>
      <c r="J32" s="21">
        <v>6.8040000000000003</v>
      </c>
      <c r="K32" s="21">
        <v>6.7850000000000001</v>
      </c>
      <c r="L32" s="21">
        <v>6.7919999999999998</v>
      </c>
      <c r="M32" s="21">
        <v>6.8630000000000004</v>
      </c>
      <c r="N32" s="21">
        <v>6.9320000000000004</v>
      </c>
      <c r="O32" s="21">
        <v>6.8869999999999996</v>
      </c>
      <c r="P32" s="21">
        <v>6.7610000000000001</v>
      </c>
      <c r="Q32" s="21">
        <v>6.6859999999999999</v>
      </c>
      <c r="R32" s="21">
        <v>6.7409999999999997</v>
      </c>
      <c r="S32" s="21">
        <v>5.8579999999999997</v>
      </c>
      <c r="T32" s="21">
        <v>6.85</v>
      </c>
      <c r="U32" s="21">
        <v>6.7889999999999997</v>
      </c>
      <c r="V32" s="21">
        <v>6.7789999999999999</v>
      </c>
      <c r="W32" s="21">
        <v>6.7380000000000004</v>
      </c>
      <c r="X32" s="21">
        <v>6.8259999999999996</v>
      </c>
      <c r="Y32" s="21">
        <v>6.694</v>
      </c>
      <c r="Z32" s="21">
        <v>6.7949999999999999</v>
      </c>
      <c r="AA32" s="21">
        <v>6.298</v>
      </c>
      <c r="AB32" s="21">
        <v>6.774</v>
      </c>
      <c r="AC32" s="21">
        <v>6.82</v>
      </c>
      <c r="AD32" s="21">
        <v>6.8410000000000002</v>
      </c>
      <c r="AE32" s="21">
        <v>6.7560000000000002</v>
      </c>
      <c r="AF32" s="21">
        <v>6.7910000000000004</v>
      </c>
      <c r="AG32" s="21">
        <v>6.8070000000000004</v>
      </c>
      <c r="AH32" s="19">
        <f t="shared" si="0"/>
        <v>208.02599999999995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7.49</v>
      </c>
      <c r="D34" s="21">
        <v>6.7889999999999997</v>
      </c>
      <c r="E34" s="21">
        <v>5.4749999999999996</v>
      </c>
      <c r="F34" s="21">
        <v>6.4720000000000004</v>
      </c>
      <c r="G34" s="21">
        <v>6.7720000000000002</v>
      </c>
      <c r="H34" s="21">
        <v>6.2930000000000001</v>
      </c>
      <c r="I34" s="21">
        <v>6.7859999999999996</v>
      </c>
      <c r="J34" s="21">
        <v>6.766</v>
      </c>
      <c r="K34" s="21">
        <v>6.7530000000000001</v>
      </c>
      <c r="L34" s="21">
        <v>6.7960000000000003</v>
      </c>
      <c r="M34" s="21">
        <v>6.8440000000000003</v>
      </c>
      <c r="N34" s="21">
        <v>6.9020000000000001</v>
      </c>
      <c r="O34" s="21">
        <v>6.8150000000000004</v>
      </c>
      <c r="P34" s="21">
        <v>6.7110000000000003</v>
      </c>
      <c r="Q34" s="21">
        <v>6.6429999999999998</v>
      </c>
      <c r="R34" s="21">
        <v>6.7</v>
      </c>
      <c r="S34" s="21">
        <v>5.827</v>
      </c>
      <c r="T34" s="21">
        <v>6.742</v>
      </c>
      <c r="U34" s="21">
        <v>6.7649999999999997</v>
      </c>
      <c r="V34" s="21">
        <v>6.7370000000000001</v>
      </c>
      <c r="W34" s="21">
        <v>6.6950000000000003</v>
      </c>
      <c r="X34" s="21">
        <v>6.7910000000000004</v>
      </c>
      <c r="Y34" s="21">
        <v>6.6550000000000002</v>
      </c>
      <c r="Z34" s="21">
        <v>6.7640000000000002</v>
      </c>
      <c r="AA34" s="21">
        <v>6.6710000000000003</v>
      </c>
      <c r="AB34" s="21">
        <v>6.7270000000000003</v>
      </c>
      <c r="AC34" s="21">
        <v>6.76</v>
      </c>
      <c r="AD34" s="21">
        <v>6.8170000000000002</v>
      </c>
      <c r="AE34" s="21">
        <v>5.75</v>
      </c>
      <c r="AF34" s="21">
        <v>6.7489999999999997</v>
      </c>
      <c r="AG34" s="21">
        <v>6.7560000000000002</v>
      </c>
      <c r="AH34" s="19">
        <f t="shared" si="0"/>
        <v>206.21299999999999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4.7770000000000001</v>
      </c>
      <c r="D36" s="21">
        <v>0.56499999999999995</v>
      </c>
      <c r="E36" s="21">
        <v>3.6920000000000002</v>
      </c>
      <c r="F36" s="21">
        <v>4.4749999999999996</v>
      </c>
      <c r="G36" s="21">
        <v>4.8239999999999998</v>
      </c>
      <c r="H36" s="21">
        <v>4.6970000000000001</v>
      </c>
      <c r="I36" s="21">
        <v>5.1109999999999998</v>
      </c>
      <c r="J36" s="21">
        <v>5.2160000000000002</v>
      </c>
      <c r="K36" s="21">
        <v>5.31</v>
      </c>
      <c r="L36" s="21">
        <v>5.4610000000000003</v>
      </c>
      <c r="M36" s="21">
        <v>5.66</v>
      </c>
      <c r="N36" s="21">
        <v>5.7910000000000004</v>
      </c>
      <c r="O36" s="21">
        <v>5.7809999999999997</v>
      </c>
      <c r="P36" s="21">
        <v>5.8150000000000004</v>
      </c>
      <c r="Q36" s="21">
        <v>5.8810000000000002</v>
      </c>
      <c r="R36" s="21">
        <v>6.0229999999999997</v>
      </c>
      <c r="S36" s="21">
        <v>5.3390000000000004</v>
      </c>
      <c r="T36" s="21">
        <v>6.3010000000000002</v>
      </c>
      <c r="U36" s="21">
        <v>6.4489999999999998</v>
      </c>
      <c r="V36" s="21">
        <v>6.601</v>
      </c>
      <c r="W36" s="21">
        <v>6.6559999999999997</v>
      </c>
      <c r="X36" s="21">
        <v>6.75</v>
      </c>
      <c r="Y36" s="21">
        <v>6.6769999999999996</v>
      </c>
      <c r="Z36" s="21">
        <v>6.7009999999999996</v>
      </c>
      <c r="AA36" s="21">
        <v>6.6130000000000004</v>
      </c>
      <c r="AB36" s="21">
        <v>6.7309999999999999</v>
      </c>
      <c r="AC36" s="21">
        <v>6.6829999999999998</v>
      </c>
      <c r="AD36" s="21">
        <v>6.7830000000000004</v>
      </c>
      <c r="AE36" s="21">
        <v>5.4729999999999999</v>
      </c>
      <c r="AF36" s="21">
        <v>6.702</v>
      </c>
      <c r="AG36" s="21">
        <v>6.7220000000000004</v>
      </c>
      <c r="AH36" s="19">
        <f t="shared" si="0"/>
        <v>176.26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0</v>
      </c>
      <c r="D38" s="21">
        <v>1E-3</v>
      </c>
      <c r="E38" s="21">
        <v>0</v>
      </c>
      <c r="F38" s="21">
        <v>1E-3</v>
      </c>
      <c r="G38" s="21">
        <v>1E-3</v>
      </c>
      <c r="H38" s="21">
        <v>1E-3</v>
      </c>
      <c r="I38" s="21">
        <v>0</v>
      </c>
      <c r="J38" s="21">
        <v>1E-3</v>
      </c>
      <c r="K38" s="21">
        <v>0</v>
      </c>
      <c r="L38" s="21">
        <v>0</v>
      </c>
      <c r="M38" s="21">
        <v>1E-3</v>
      </c>
      <c r="N38" s="21">
        <v>0</v>
      </c>
      <c r="O38" s="21">
        <v>1E-3</v>
      </c>
      <c r="P38" s="21">
        <v>0</v>
      </c>
      <c r="Q38" s="21">
        <v>0</v>
      </c>
      <c r="R38" s="21">
        <v>1E-3</v>
      </c>
      <c r="S38" s="21">
        <v>1E-3</v>
      </c>
      <c r="T38" s="21">
        <v>0</v>
      </c>
      <c r="U38" s="21">
        <v>1E-3</v>
      </c>
      <c r="V38" s="21">
        <v>1E-3</v>
      </c>
      <c r="W38" s="21">
        <v>1.4E-2</v>
      </c>
      <c r="X38" s="21">
        <v>0.125</v>
      </c>
      <c r="Y38" s="21">
        <v>0.23100000000000001</v>
      </c>
      <c r="Z38" s="21">
        <v>0.34200000000000003</v>
      </c>
      <c r="AA38" s="21">
        <v>0.44800000000000001</v>
      </c>
      <c r="AB38" s="21">
        <v>0.56299999999999994</v>
      </c>
      <c r="AC38" s="21">
        <v>0.77700000000000002</v>
      </c>
      <c r="AD38" s="21">
        <v>0.89700000000000002</v>
      </c>
      <c r="AE38" s="21">
        <v>0.81699999999999995</v>
      </c>
      <c r="AF38" s="21">
        <v>1.103</v>
      </c>
      <c r="AG38" s="21">
        <v>1.2130000000000001</v>
      </c>
      <c r="AH38" s="19">
        <f t="shared" si="0"/>
        <v>6.5410000000000004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1E-3</v>
      </c>
      <c r="D40" s="21">
        <v>0</v>
      </c>
      <c r="E40" s="21">
        <v>1E-3</v>
      </c>
      <c r="F40" s="21">
        <v>0</v>
      </c>
      <c r="G40" s="21">
        <v>0</v>
      </c>
      <c r="H40" s="21">
        <v>0</v>
      </c>
      <c r="I40" s="21">
        <v>1E-3</v>
      </c>
      <c r="J40" s="21">
        <v>0</v>
      </c>
      <c r="K40" s="21">
        <v>0</v>
      </c>
      <c r="L40" s="21">
        <v>1E-3</v>
      </c>
      <c r="M40" s="21">
        <v>0</v>
      </c>
      <c r="N40" s="21">
        <v>1E-3</v>
      </c>
      <c r="O40" s="21">
        <v>0</v>
      </c>
      <c r="P40" s="21">
        <v>1E-3</v>
      </c>
      <c r="Q40" s="21">
        <v>1E-3</v>
      </c>
      <c r="R40" s="21">
        <v>0</v>
      </c>
      <c r="S40" s="21">
        <v>0</v>
      </c>
      <c r="T40" s="21">
        <v>1E-3</v>
      </c>
      <c r="U40" s="21">
        <v>0</v>
      </c>
      <c r="V40" s="21">
        <v>0</v>
      </c>
      <c r="W40" s="21">
        <v>1E-3</v>
      </c>
      <c r="X40" s="21">
        <v>0</v>
      </c>
      <c r="Y40" s="21">
        <v>1E-3</v>
      </c>
      <c r="Z40" s="21">
        <v>0</v>
      </c>
      <c r="AA40" s="21">
        <v>0</v>
      </c>
      <c r="AB40" s="21">
        <v>0</v>
      </c>
      <c r="AC40" s="21">
        <v>1E-3</v>
      </c>
      <c r="AD40" s="21">
        <v>0</v>
      </c>
      <c r="AE40" s="21">
        <v>1E-3</v>
      </c>
      <c r="AF40" s="21">
        <v>0</v>
      </c>
      <c r="AG40" s="21">
        <v>1E-3</v>
      </c>
      <c r="AH40" s="19">
        <f t="shared" si="0"/>
        <v>1.3000000000000005E-2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0</v>
      </c>
      <c r="D42" s="21">
        <v>1E-3</v>
      </c>
      <c r="E42" s="21">
        <v>0</v>
      </c>
      <c r="F42" s="21">
        <v>0</v>
      </c>
      <c r="G42" s="21">
        <v>1E-3</v>
      </c>
      <c r="H42" s="21">
        <v>1E-3</v>
      </c>
      <c r="I42" s="21">
        <v>0</v>
      </c>
      <c r="J42" s="21">
        <v>1E-3</v>
      </c>
      <c r="K42" s="21">
        <v>1E-3</v>
      </c>
      <c r="L42" s="21">
        <v>0</v>
      </c>
      <c r="M42" s="21">
        <v>1E-3</v>
      </c>
      <c r="N42" s="21">
        <v>0</v>
      </c>
      <c r="O42" s="21">
        <v>0</v>
      </c>
      <c r="P42" s="21">
        <v>0</v>
      </c>
      <c r="Q42" s="21">
        <v>0</v>
      </c>
      <c r="R42" s="21">
        <v>1E-3</v>
      </c>
      <c r="S42" s="21">
        <v>1E-3</v>
      </c>
      <c r="T42" s="21">
        <v>0</v>
      </c>
      <c r="U42" s="21">
        <v>1E-3</v>
      </c>
      <c r="V42" s="21">
        <v>1E-3</v>
      </c>
      <c r="W42" s="21">
        <v>0</v>
      </c>
      <c r="X42" s="21">
        <v>1E-3</v>
      </c>
      <c r="Y42" s="21">
        <v>0</v>
      </c>
      <c r="Z42" s="21">
        <v>1E-3</v>
      </c>
      <c r="AA42" s="21">
        <v>1E-3</v>
      </c>
      <c r="AB42" s="21">
        <v>1E-3</v>
      </c>
      <c r="AC42" s="21">
        <v>0</v>
      </c>
      <c r="AD42" s="21">
        <v>0</v>
      </c>
      <c r="AE42" s="21">
        <v>0</v>
      </c>
      <c r="AF42" s="21">
        <v>1E-3</v>
      </c>
      <c r="AG42" s="21">
        <v>0</v>
      </c>
      <c r="AH42" s="19">
        <f t="shared" si="0"/>
        <v>1.5000000000000006E-2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1E-3</v>
      </c>
      <c r="D44" s="21">
        <v>0</v>
      </c>
      <c r="E44" s="21">
        <v>1E-3</v>
      </c>
      <c r="F44" s="21">
        <v>0</v>
      </c>
      <c r="G44" s="21">
        <v>0</v>
      </c>
      <c r="H44" s="21">
        <v>0</v>
      </c>
      <c r="I44" s="21">
        <v>1E-3</v>
      </c>
      <c r="J44" s="21">
        <v>0</v>
      </c>
      <c r="K44" s="21">
        <v>0</v>
      </c>
      <c r="L44" s="21">
        <v>1E-3</v>
      </c>
      <c r="M44" s="21">
        <v>0</v>
      </c>
      <c r="N44" s="21">
        <v>1E-3</v>
      </c>
      <c r="O44" s="21">
        <v>1E-3</v>
      </c>
      <c r="P44" s="21">
        <v>0</v>
      </c>
      <c r="Q44" s="21">
        <v>1E-3</v>
      </c>
      <c r="R44" s="21">
        <v>0</v>
      </c>
      <c r="S44" s="21">
        <v>0</v>
      </c>
      <c r="T44" s="21">
        <v>1E-3</v>
      </c>
      <c r="U44" s="21">
        <v>0</v>
      </c>
      <c r="V44" s="21">
        <v>0</v>
      </c>
      <c r="W44" s="21">
        <v>1E-3</v>
      </c>
      <c r="X44" s="21">
        <v>0</v>
      </c>
      <c r="Y44" s="21">
        <v>1E-3</v>
      </c>
      <c r="Z44" s="21">
        <v>0</v>
      </c>
      <c r="AA44" s="21">
        <v>0</v>
      </c>
      <c r="AB44" s="21">
        <v>0</v>
      </c>
      <c r="AC44" s="21">
        <v>1E-3</v>
      </c>
      <c r="AD44" s="21">
        <v>1E-3</v>
      </c>
      <c r="AE44" s="21">
        <v>1E-3</v>
      </c>
      <c r="AF44" s="21">
        <v>0</v>
      </c>
      <c r="AG44" s="21">
        <v>1E-3</v>
      </c>
      <c r="AH44" s="19">
        <f t="shared" si="0"/>
        <v>1.4000000000000005E-2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0</v>
      </c>
      <c r="D46" s="21">
        <v>1E-3</v>
      </c>
      <c r="E46" s="21">
        <v>0</v>
      </c>
      <c r="F46" s="21">
        <v>0</v>
      </c>
      <c r="G46" s="21">
        <v>1E-3</v>
      </c>
      <c r="H46" s="21">
        <v>1E-3</v>
      </c>
      <c r="I46" s="21">
        <v>0</v>
      </c>
      <c r="J46" s="21">
        <v>1E-3</v>
      </c>
      <c r="K46" s="21">
        <v>1E-3</v>
      </c>
      <c r="L46" s="21">
        <v>0</v>
      </c>
      <c r="M46" s="21">
        <v>1E-3</v>
      </c>
      <c r="N46" s="21">
        <v>0</v>
      </c>
      <c r="O46" s="21">
        <v>0</v>
      </c>
      <c r="P46" s="21">
        <v>1E-3</v>
      </c>
      <c r="Q46" s="21">
        <v>0</v>
      </c>
      <c r="R46" s="21">
        <v>1E-3</v>
      </c>
      <c r="S46" s="21">
        <v>1E-3</v>
      </c>
      <c r="T46" s="21">
        <v>0</v>
      </c>
      <c r="U46" s="21">
        <v>1E-3</v>
      </c>
      <c r="V46" s="21">
        <v>0</v>
      </c>
      <c r="W46" s="21">
        <v>0</v>
      </c>
      <c r="X46" s="21">
        <v>1E-3</v>
      </c>
      <c r="Y46" s="21">
        <v>0</v>
      </c>
      <c r="Z46" s="21">
        <v>1E-3</v>
      </c>
      <c r="AA46" s="21">
        <v>1E-3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19">
        <f t="shared" si="0"/>
        <v>1.3000000000000005E-2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1E-3</v>
      </c>
      <c r="D48" s="21">
        <v>0</v>
      </c>
      <c r="E48" s="21">
        <v>1E-3</v>
      </c>
      <c r="F48" s="21">
        <v>1E-3</v>
      </c>
      <c r="G48" s="21">
        <v>0</v>
      </c>
      <c r="H48" s="21">
        <v>0</v>
      </c>
      <c r="I48" s="21">
        <v>1E-3</v>
      </c>
      <c r="J48" s="21">
        <v>0</v>
      </c>
      <c r="K48" s="21">
        <v>0</v>
      </c>
      <c r="L48" s="21">
        <v>1E-3</v>
      </c>
      <c r="M48" s="21">
        <v>0</v>
      </c>
      <c r="N48" s="21">
        <v>1E-3</v>
      </c>
      <c r="O48" s="21">
        <v>1E-3</v>
      </c>
      <c r="P48" s="21">
        <v>0</v>
      </c>
      <c r="Q48" s="21">
        <v>0</v>
      </c>
      <c r="R48" s="21">
        <v>0</v>
      </c>
      <c r="S48" s="21">
        <v>0</v>
      </c>
      <c r="T48" s="21">
        <v>1E-3</v>
      </c>
      <c r="U48" s="21">
        <v>0</v>
      </c>
      <c r="V48" s="21">
        <v>1E-3</v>
      </c>
      <c r="W48" s="21">
        <v>1E-3</v>
      </c>
      <c r="X48" s="21">
        <v>0</v>
      </c>
      <c r="Y48" s="21">
        <v>1E-3</v>
      </c>
      <c r="Z48" s="21">
        <v>0</v>
      </c>
      <c r="AA48" s="21">
        <v>0</v>
      </c>
      <c r="AB48" s="21">
        <v>1E-3</v>
      </c>
      <c r="AC48" s="21">
        <v>0</v>
      </c>
      <c r="AD48" s="21">
        <v>1E-3</v>
      </c>
      <c r="AE48" s="21">
        <v>0</v>
      </c>
      <c r="AF48" s="21">
        <v>1E-3</v>
      </c>
      <c r="AG48" s="21">
        <v>1E-3</v>
      </c>
      <c r="AH48" s="19">
        <f t="shared" si="0"/>
        <v>1.5000000000000006E-2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0</v>
      </c>
      <c r="D50" s="21">
        <v>0</v>
      </c>
      <c r="E50" s="21">
        <v>0</v>
      </c>
      <c r="F50" s="21">
        <v>0</v>
      </c>
      <c r="G50" s="21">
        <v>1E-3</v>
      </c>
      <c r="H50" s="21">
        <v>0</v>
      </c>
      <c r="I50" s="21">
        <v>0</v>
      </c>
      <c r="J50" s="21">
        <v>1E-3</v>
      </c>
      <c r="K50" s="21">
        <v>1E-3</v>
      </c>
      <c r="L50" s="21">
        <v>0</v>
      </c>
      <c r="M50" s="21">
        <v>0</v>
      </c>
      <c r="N50" s="21">
        <v>0</v>
      </c>
      <c r="O50" s="21">
        <v>0</v>
      </c>
      <c r="P50" s="21">
        <v>1E-3</v>
      </c>
      <c r="Q50" s="21">
        <v>1E-3</v>
      </c>
      <c r="R50" s="21">
        <v>1E-3</v>
      </c>
      <c r="S50" s="21">
        <v>0</v>
      </c>
      <c r="T50" s="21">
        <v>0</v>
      </c>
      <c r="U50" s="21">
        <v>1E-3</v>
      </c>
      <c r="V50" s="21">
        <v>0</v>
      </c>
      <c r="W50" s="21">
        <v>0</v>
      </c>
      <c r="X50" s="21">
        <v>0</v>
      </c>
      <c r="Y50" s="21">
        <v>0</v>
      </c>
      <c r="Z50" s="21">
        <v>1E-3</v>
      </c>
      <c r="AA50" s="21">
        <v>0</v>
      </c>
      <c r="AB50" s="21">
        <v>0</v>
      </c>
      <c r="AC50" s="21">
        <v>1E-3</v>
      </c>
      <c r="AD50" s="21">
        <v>0</v>
      </c>
      <c r="AE50" s="21">
        <v>1E-3</v>
      </c>
      <c r="AF50" s="21">
        <v>0</v>
      </c>
      <c r="AG50" s="21">
        <v>0</v>
      </c>
      <c r="AH50" s="19">
        <f t="shared" si="0"/>
        <v>1.0000000000000002E-2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1E-3</v>
      </c>
      <c r="D52" s="21">
        <v>1E-3</v>
      </c>
      <c r="E52" s="21">
        <v>1E-3</v>
      </c>
      <c r="F52" s="21">
        <v>1E-3</v>
      </c>
      <c r="G52" s="21">
        <v>0</v>
      </c>
      <c r="H52" s="21">
        <v>1E-3</v>
      </c>
      <c r="I52" s="21">
        <v>0</v>
      </c>
      <c r="J52" s="21">
        <v>0</v>
      </c>
      <c r="K52" s="21">
        <v>0</v>
      </c>
      <c r="L52" s="21">
        <v>1E-3</v>
      </c>
      <c r="M52" s="21">
        <v>1E-3</v>
      </c>
      <c r="N52" s="21">
        <v>1E-3</v>
      </c>
      <c r="O52" s="21">
        <v>1E-3</v>
      </c>
      <c r="P52" s="21">
        <v>0</v>
      </c>
      <c r="Q52" s="21">
        <v>0</v>
      </c>
      <c r="R52" s="21">
        <v>0</v>
      </c>
      <c r="S52" s="21">
        <v>1E-3</v>
      </c>
      <c r="T52" s="21">
        <v>1E-3</v>
      </c>
      <c r="U52" s="21">
        <v>0</v>
      </c>
      <c r="V52" s="21">
        <v>1E-3</v>
      </c>
      <c r="W52" s="21">
        <v>1E-3</v>
      </c>
      <c r="X52" s="21">
        <v>1E-3</v>
      </c>
      <c r="Y52" s="21">
        <v>1E-3</v>
      </c>
      <c r="Z52" s="21">
        <v>0</v>
      </c>
      <c r="AA52" s="21">
        <v>1E-3</v>
      </c>
      <c r="AB52" s="21">
        <v>1E-3</v>
      </c>
      <c r="AC52" s="21">
        <v>0</v>
      </c>
      <c r="AD52" s="21">
        <v>0</v>
      </c>
      <c r="AE52" s="21">
        <v>0</v>
      </c>
      <c r="AF52" s="21">
        <v>1E-3</v>
      </c>
      <c r="AG52" s="21">
        <v>1E-3</v>
      </c>
      <c r="AH52" s="19">
        <f t="shared" si="0"/>
        <v>1.900000000000001E-2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1E-3</v>
      </c>
      <c r="J54" s="21">
        <v>0</v>
      </c>
      <c r="K54" s="21">
        <v>1E-3</v>
      </c>
      <c r="L54" s="21">
        <v>0</v>
      </c>
      <c r="M54" s="21">
        <v>0</v>
      </c>
      <c r="N54" s="21">
        <v>0</v>
      </c>
      <c r="O54" s="21">
        <v>0</v>
      </c>
      <c r="P54" s="21">
        <v>1E-3</v>
      </c>
      <c r="Q54" s="21">
        <v>1E-3</v>
      </c>
      <c r="R54" s="21">
        <v>1E-3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1E-3</v>
      </c>
      <c r="AD54" s="21">
        <v>1E-3</v>
      </c>
      <c r="AE54" s="21">
        <v>1E-3</v>
      </c>
      <c r="AF54" s="21">
        <v>0</v>
      </c>
      <c r="AG54" s="21">
        <v>0</v>
      </c>
      <c r="AH54" s="19">
        <f t="shared" si="0"/>
        <v>8.0000000000000002E-3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1E-3</v>
      </c>
      <c r="D56" s="21">
        <v>1E-3</v>
      </c>
      <c r="E56" s="21">
        <v>1E-3</v>
      </c>
      <c r="F56" s="21">
        <v>1E-3</v>
      </c>
      <c r="G56" s="21">
        <v>1E-3</v>
      </c>
      <c r="H56" s="21">
        <v>1E-3</v>
      </c>
      <c r="I56" s="21">
        <v>0</v>
      </c>
      <c r="J56" s="21">
        <v>1E-3</v>
      </c>
      <c r="K56" s="21">
        <v>0</v>
      </c>
      <c r="L56" s="21">
        <v>1E-3</v>
      </c>
      <c r="M56" s="21">
        <v>1E-3</v>
      </c>
      <c r="N56" s="21">
        <v>1E-3</v>
      </c>
      <c r="O56" s="21">
        <v>1E-3</v>
      </c>
      <c r="P56" s="21">
        <v>0</v>
      </c>
      <c r="Q56" s="21">
        <v>0</v>
      </c>
      <c r="R56" s="21">
        <v>0</v>
      </c>
      <c r="S56" s="21">
        <v>1E-3</v>
      </c>
      <c r="T56" s="21">
        <v>1E-3</v>
      </c>
      <c r="U56" s="21">
        <v>1E-3</v>
      </c>
      <c r="V56" s="21">
        <v>1E-3</v>
      </c>
      <c r="W56" s="21">
        <v>1E-3</v>
      </c>
      <c r="X56" s="21">
        <v>0</v>
      </c>
      <c r="Y56" s="21">
        <v>0</v>
      </c>
      <c r="Z56" s="21">
        <v>1E-3</v>
      </c>
      <c r="AA56" s="21">
        <v>1E-3</v>
      </c>
      <c r="AB56" s="21">
        <v>1E-3</v>
      </c>
      <c r="AC56" s="21">
        <v>0</v>
      </c>
      <c r="AD56" s="21">
        <v>0</v>
      </c>
      <c r="AE56" s="21">
        <v>0</v>
      </c>
      <c r="AF56" s="21">
        <v>1E-3</v>
      </c>
      <c r="AG56" s="21">
        <v>0</v>
      </c>
      <c r="AH56" s="19">
        <f t="shared" si="0"/>
        <v>2.0000000000000011E-2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1E-3</v>
      </c>
      <c r="J58" s="21">
        <v>0</v>
      </c>
      <c r="K58" s="21">
        <v>1E-3</v>
      </c>
      <c r="L58" s="21">
        <v>0</v>
      </c>
      <c r="M58" s="21">
        <v>0</v>
      </c>
      <c r="N58" s="21">
        <v>0</v>
      </c>
      <c r="O58" s="21">
        <v>0</v>
      </c>
      <c r="P58" s="21">
        <v>1E-3</v>
      </c>
      <c r="Q58" s="21">
        <v>1E-3</v>
      </c>
      <c r="R58" s="21">
        <v>0</v>
      </c>
      <c r="S58" s="21">
        <v>0.06</v>
      </c>
      <c r="T58" s="21">
        <v>0.24</v>
      </c>
      <c r="U58" s="21">
        <v>0.34300000000000003</v>
      </c>
      <c r="V58" s="21">
        <v>0.56399999999999995</v>
      </c>
      <c r="W58" s="21">
        <v>0.68300000000000005</v>
      </c>
      <c r="X58" s="21">
        <v>0.89500000000000002</v>
      </c>
      <c r="Y58" s="21">
        <v>1.006</v>
      </c>
      <c r="Z58" s="21">
        <v>1.212</v>
      </c>
      <c r="AA58" s="21">
        <v>1.3160000000000001</v>
      </c>
      <c r="AB58" s="21">
        <v>1.42</v>
      </c>
      <c r="AC58" s="21">
        <v>1.6639999999999999</v>
      </c>
      <c r="AD58" s="21">
        <v>1.77</v>
      </c>
      <c r="AE58" s="21">
        <v>1.853</v>
      </c>
      <c r="AF58" s="21">
        <v>2.085</v>
      </c>
      <c r="AG58" s="21">
        <v>2.1669999999999998</v>
      </c>
      <c r="AH58" s="19">
        <f t="shared" si="0"/>
        <v>17.281999999999996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3.7610000000000001</v>
      </c>
      <c r="D60" s="21">
        <v>3.7839999999999998</v>
      </c>
      <c r="E60" s="21">
        <v>3.9140000000000001</v>
      </c>
      <c r="F60" s="21">
        <v>4.0819999999999999</v>
      </c>
      <c r="G60" s="21">
        <v>4.3499999999999996</v>
      </c>
      <c r="H60" s="21">
        <v>4.6210000000000004</v>
      </c>
      <c r="I60" s="21">
        <v>4.8769999999999998</v>
      </c>
      <c r="J60" s="21">
        <v>4.984</v>
      </c>
      <c r="K60" s="21">
        <v>5.12</v>
      </c>
      <c r="L60" s="21">
        <v>5.4740000000000002</v>
      </c>
      <c r="M60" s="21">
        <v>5.4939999999999998</v>
      </c>
      <c r="N60" s="21">
        <v>5.798</v>
      </c>
      <c r="O60" s="21">
        <v>5.8369999999999997</v>
      </c>
      <c r="P60" s="21">
        <v>6.0289999999999999</v>
      </c>
      <c r="Q60" s="21">
        <v>6.1719999999999997</v>
      </c>
      <c r="R60" s="21">
        <v>6.3029999999999999</v>
      </c>
      <c r="S60" s="21">
        <v>6.42</v>
      </c>
      <c r="T60" s="21">
        <v>6.36</v>
      </c>
      <c r="U60" s="21">
        <v>6.3570000000000002</v>
      </c>
      <c r="V60" s="21">
        <v>6.4989999999999997</v>
      </c>
      <c r="W60" s="21">
        <v>6.5350000000000001</v>
      </c>
      <c r="X60" s="21">
        <v>6.4960000000000004</v>
      </c>
      <c r="Y60" s="21">
        <v>6.4480000000000004</v>
      </c>
      <c r="Z60" s="21">
        <v>6.4640000000000004</v>
      </c>
      <c r="AA60" s="21">
        <v>6.3259999999999996</v>
      </c>
      <c r="AB60" s="21">
        <v>6.415</v>
      </c>
      <c r="AC60" s="21">
        <v>6.48</v>
      </c>
      <c r="AD60" s="21">
        <v>6.4249999999999998</v>
      </c>
      <c r="AE60" s="21">
        <v>6.3369999999999997</v>
      </c>
      <c r="AF60" s="21">
        <v>6.4119999999999999</v>
      </c>
      <c r="AG60" s="21">
        <v>6.3659999999999997</v>
      </c>
      <c r="AH60" s="19">
        <f t="shared" si="0"/>
        <v>176.93999999999994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6.5140000000000002</v>
      </c>
      <c r="D62" s="21">
        <v>6.2</v>
      </c>
      <c r="E62" s="21">
        <v>6.2590000000000003</v>
      </c>
      <c r="F62" s="21">
        <v>6.1970000000000001</v>
      </c>
      <c r="G62" s="21">
        <v>6.085</v>
      </c>
      <c r="H62" s="21">
        <v>6.5289999999999999</v>
      </c>
      <c r="I62" s="21">
        <v>6.5590000000000002</v>
      </c>
      <c r="J62" s="21">
        <v>6.5129999999999999</v>
      </c>
      <c r="K62" s="21">
        <v>6.4720000000000004</v>
      </c>
      <c r="L62" s="21">
        <v>6.5839999999999996</v>
      </c>
      <c r="M62" s="21">
        <v>6.4909999999999997</v>
      </c>
      <c r="N62" s="21">
        <v>6.5709999999999997</v>
      </c>
      <c r="O62" s="21">
        <v>6.5529999999999999</v>
      </c>
      <c r="P62" s="21">
        <v>6.49</v>
      </c>
      <c r="Q62" s="21">
        <v>6.5209999999999999</v>
      </c>
      <c r="R62" s="21">
        <v>6.47</v>
      </c>
      <c r="S62" s="21">
        <v>6.5049999999999999</v>
      </c>
      <c r="T62" s="21">
        <v>6.4249999999999998</v>
      </c>
      <c r="U62" s="21">
        <v>6.415</v>
      </c>
      <c r="V62" s="21">
        <v>6.5389999999999997</v>
      </c>
      <c r="W62" s="21">
        <v>6.5759999999999996</v>
      </c>
      <c r="X62" s="21">
        <v>6.5519999999999996</v>
      </c>
      <c r="Y62" s="21">
        <v>6.4930000000000003</v>
      </c>
      <c r="Z62" s="21">
        <v>6.4870000000000001</v>
      </c>
      <c r="AA62" s="21">
        <v>6.3849999999999998</v>
      </c>
      <c r="AB62" s="21">
        <v>6.4850000000000003</v>
      </c>
      <c r="AC62" s="21">
        <v>6.4459999999999997</v>
      </c>
      <c r="AD62" s="21">
        <v>6.5179999999999998</v>
      </c>
      <c r="AE62" s="21">
        <v>6.4189999999999996</v>
      </c>
      <c r="AF62" s="21">
        <v>6.4880000000000004</v>
      </c>
      <c r="AG62" s="21">
        <v>6.4530000000000003</v>
      </c>
      <c r="AH62" s="19">
        <f t="shared" si="0"/>
        <v>200.19399999999996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6.585</v>
      </c>
      <c r="D64" s="21">
        <v>6.2469999999999999</v>
      </c>
      <c r="E64" s="21">
        <v>6.22</v>
      </c>
      <c r="F64" s="21">
        <v>6.3019999999999996</v>
      </c>
      <c r="G64" s="21">
        <v>6.141</v>
      </c>
      <c r="H64" s="21">
        <v>6.5389999999999997</v>
      </c>
      <c r="I64" s="21">
        <v>6.5190000000000001</v>
      </c>
      <c r="J64" s="21">
        <v>6.5270000000000001</v>
      </c>
      <c r="K64" s="21">
        <v>6.5309999999999997</v>
      </c>
      <c r="L64" s="21">
        <v>6.53</v>
      </c>
      <c r="M64" s="21">
        <v>6.5510000000000002</v>
      </c>
      <c r="N64" s="21">
        <v>6.6260000000000003</v>
      </c>
      <c r="O64" s="21">
        <v>6.4950000000000001</v>
      </c>
      <c r="P64" s="21">
        <v>6.4109999999999996</v>
      </c>
      <c r="Q64" s="21">
        <v>6.4660000000000002</v>
      </c>
      <c r="R64" s="21">
        <v>6.0529999999999999</v>
      </c>
      <c r="S64" s="21">
        <v>6.468</v>
      </c>
      <c r="T64" s="21">
        <v>6.476</v>
      </c>
      <c r="U64" s="21">
        <v>6.5140000000000002</v>
      </c>
      <c r="V64" s="21">
        <v>6.5430000000000001</v>
      </c>
      <c r="W64" s="21">
        <v>6.5540000000000003</v>
      </c>
      <c r="X64" s="21">
        <v>6.5890000000000004</v>
      </c>
      <c r="Y64" s="21">
        <v>6.52</v>
      </c>
      <c r="Z64" s="21">
        <v>6.4640000000000004</v>
      </c>
      <c r="AA64" s="21">
        <v>6.4470000000000001</v>
      </c>
      <c r="AB64" s="21">
        <v>6.5540000000000003</v>
      </c>
      <c r="AC64" s="21">
        <v>6.5149999999999997</v>
      </c>
      <c r="AD64" s="21">
        <v>6.5830000000000002</v>
      </c>
      <c r="AE64" s="21">
        <v>6.52</v>
      </c>
      <c r="AF64" s="21">
        <v>6.4850000000000003</v>
      </c>
      <c r="AG64" s="21">
        <v>6.5519999999999996</v>
      </c>
      <c r="AH64" s="19">
        <f t="shared" si="0"/>
        <v>200.52700000000002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6.6230000000000002</v>
      </c>
      <c r="D66" s="21">
        <v>6.2949999999999999</v>
      </c>
      <c r="E66" s="21">
        <v>6.3040000000000003</v>
      </c>
      <c r="F66" s="21">
        <v>6.35</v>
      </c>
      <c r="G66" s="21">
        <v>6.1559999999999997</v>
      </c>
      <c r="H66" s="21">
        <v>6.5570000000000004</v>
      </c>
      <c r="I66" s="21">
        <v>6.5469999999999997</v>
      </c>
      <c r="J66" s="21">
        <v>6.5579999999999998</v>
      </c>
      <c r="K66" s="21">
        <v>6.5510000000000002</v>
      </c>
      <c r="L66" s="21">
        <v>6.5359999999999996</v>
      </c>
      <c r="M66" s="21">
        <v>6.61</v>
      </c>
      <c r="N66" s="21">
        <v>6.6820000000000004</v>
      </c>
      <c r="O66" s="21">
        <v>6.5309999999999997</v>
      </c>
      <c r="P66" s="21">
        <v>6.4619999999999997</v>
      </c>
      <c r="Q66" s="21">
        <v>6.5030000000000001</v>
      </c>
      <c r="R66" s="21">
        <v>5.6219999999999999</v>
      </c>
      <c r="S66" s="21">
        <v>6.4989999999999997</v>
      </c>
      <c r="T66" s="21">
        <v>6.51</v>
      </c>
      <c r="U66" s="21">
        <v>6.5439999999999996</v>
      </c>
      <c r="V66" s="21">
        <v>6.5720000000000001</v>
      </c>
      <c r="W66" s="21">
        <v>6.5339999999999998</v>
      </c>
      <c r="X66" s="21">
        <v>6.6189999999999998</v>
      </c>
      <c r="Y66" s="21">
        <v>6.5469999999999997</v>
      </c>
      <c r="Z66" s="21">
        <v>6.5170000000000003</v>
      </c>
      <c r="AA66" s="21">
        <v>6.4409999999999998</v>
      </c>
      <c r="AB66" s="21">
        <v>6.5830000000000002</v>
      </c>
      <c r="AC66" s="21">
        <v>6.5650000000000004</v>
      </c>
      <c r="AD66" s="21">
        <v>6.6120000000000001</v>
      </c>
      <c r="AE66" s="21">
        <v>6.5369999999999999</v>
      </c>
      <c r="AF66" s="21">
        <v>6.5190000000000001</v>
      </c>
      <c r="AG66" s="21">
        <v>6.58</v>
      </c>
      <c r="AH66" s="19">
        <f t="shared" si="0"/>
        <v>201.066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6.6509999999999998</v>
      </c>
      <c r="D68" s="21">
        <v>6.35</v>
      </c>
      <c r="E68" s="21">
        <v>6.3460000000000001</v>
      </c>
      <c r="F68" s="21">
        <v>6.3730000000000002</v>
      </c>
      <c r="G68" s="21">
        <v>6.2210000000000001</v>
      </c>
      <c r="H68" s="21">
        <v>6.6210000000000004</v>
      </c>
      <c r="I68" s="21">
        <v>6.5860000000000003</v>
      </c>
      <c r="J68" s="21">
        <v>6.593</v>
      </c>
      <c r="K68" s="21">
        <v>6.5940000000000003</v>
      </c>
      <c r="L68" s="21">
        <v>6.6130000000000004</v>
      </c>
      <c r="M68" s="21">
        <v>6.6710000000000003</v>
      </c>
      <c r="N68" s="21">
        <v>6.7119999999999997</v>
      </c>
      <c r="O68" s="21">
        <v>6.6</v>
      </c>
      <c r="P68" s="21">
        <v>6.5250000000000004</v>
      </c>
      <c r="Q68" s="21">
        <v>6.5659999999999998</v>
      </c>
      <c r="R68" s="21">
        <v>5.6669999999999998</v>
      </c>
      <c r="S68" s="21">
        <v>6.5519999999999996</v>
      </c>
      <c r="T68" s="21">
        <v>6.5819999999999999</v>
      </c>
      <c r="U68" s="21">
        <v>6.6289999999999996</v>
      </c>
      <c r="V68" s="21">
        <v>6.5609999999999999</v>
      </c>
      <c r="W68" s="21">
        <v>6.577</v>
      </c>
      <c r="X68" s="21">
        <v>6.6070000000000002</v>
      </c>
      <c r="Y68" s="21">
        <v>6.59</v>
      </c>
      <c r="Z68" s="21">
        <v>6.5659999999999998</v>
      </c>
      <c r="AA68" s="21">
        <v>6.5129999999999999</v>
      </c>
      <c r="AB68" s="21">
        <v>6.6120000000000001</v>
      </c>
      <c r="AC68" s="21">
        <v>6.5970000000000004</v>
      </c>
      <c r="AD68" s="21">
        <v>6.6230000000000002</v>
      </c>
      <c r="AE68" s="21">
        <v>6.5659999999999998</v>
      </c>
      <c r="AF68" s="21">
        <v>6.5839999999999996</v>
      </c>
      <c r="AG68" s="21">
        <v>6.6029999999999998</v>
      </c>
      <c r="AH68" s="19">
        <f t="shared" si="0"/>
        <v>202.45100000000002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6.6689999999999996</v>
      </c>
      <c r="D70" s="21">
        <v>6.4359999999999999</v>
      </c>
      <c r="E70" s="21">
        <v>6.4240000000000004</v>
      </c>
      <c r="F70" s="21">
        <v>6.4139999999999997</v>
      </c>
      <c r="G70" s="21">
        <v>6.2130000000000001</v>
      </c>
      <c r="H70" s="21">
        <v>6.6550000000000002</v>
      </c>
      <c r="I70" s="21">
        <v>6.7</v>
      </c>
      <c r="J70" s="21">
        <v>6.5570000000000004</v>
      </c>
      <c r="K70" s="21">
        <v>6.6260000000000003</v>
      </c>
      <c r="L70" s="21">
        <v>6.6609999999999996</v>
      </c>
      <c r="M70" s="21">
        <v>6.71</v>
      </c>
      <c r="N70" s="21">
        <v>6.7549999999999999</v>
      </c>
      <c r="O70" s="21">
        <v>6.6550000000000002</v>
      </c>
      <c r="P70" s="21">
        <v>6.5739999999999998</v>
      </c>
      <c r="Q70" s="21">
        <v>6.6150000000000002</v>
      </c>
      <c r="R70" s="21">
        <v>5.7560000000000002</v>
      </c>
      <c r="S70" s="21">
        <v>6.5979999999999999</v>
      </c>
      <c r="T70" s="21">
        <v>6.6</v>
      </c>
      <c r="U70" s="21">
        <v>6.6749999999999998</v>
      </c>
      <c r="V70" s="21">
        <v>6.6020000000000003</v>
      </c>
      <c r="W70" s="21">
        <v>6.6529999999999996</v>
      </c>
      <c r="X70" s="21">
        <v>6.6779999999999999</v>
      </c>
      <c r="Y70" s="21">
        <v>6.59</v>
      </c>
      <c r="Z70" s="21">
        <v>6.6440000000000001</v>
      </c>
      <c r="AA70" s="21">
        <v>6.5810000000000004</v>
      </c>
      <c r="AB70" s="21">
        <v>6.6360000000000001</v>
      </c>
      <c r="AC70" s="21">
        <v>6.5940000000000003</v>
      </c>
      <c r="AD70" s="21">
        <v>6.6349999999999998</v>
      </c>
      <c r="AE70" s="21">
        <v>6.6319999999999997</v>
      </c>
      <c r="AF70" s="21">
        <v>6.65</v>
      </c>
      <c r="AG70" s="21">
        <v>6.6180000000000003</v>
      </c>
      <c r="AH70" s="19">
        <f t="shared" si="0"/>
        <v>203.80599999999995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86.426999999999992</v>
      </c>
      <c r="D72" s="19">
        <f t="shared" ref="D72:AG72" si="2">SUM(D24,D26,D28,D30,D32,D34,D36,D38,D40,D42,D44,D46,D48,D50,D52,D54,D56,D58,D60,D62,D64,D66,D68,D70)</f>
        <v>76.522999999999996</v>
      </c>
      <c r="E72" s="19">
        <f t="shared" si="2"/>
        <v>73.887</v>
      </c>
      <c r="F72" s="19">
        <f t="shared" si="2"/>
        <v>79.069000000000003</v>
      </c>
      <c r="G72" s="19">
        <f t="shared" si="2"/>
        <v>80.257999999999981</v>
      </c>
      <c r="H72" s="19">
        <f t="shared" si="2"/>
        <v>80.071999999999989</v>
      </c>
      <c r="I72" s="19">
        <f t="shared" si="2"/>
        <v>83.552999999999983</v>
      </c>
      <c r="J72" s="19">
        <f t="shared" si="2"/>
        <v>83.423000000000002</v>
      </c>
      <c r="K72" s="19">
        <f t="shared" si="2"/>
        <v>83.534999999999982</v>
      </c>
      <c r="L72" s="19">
        <f t="shared" si="2"/>
        <v>84.283999999999992</v>
      </c>
      <c r="M72" s="19">
        <f t="shared" si="2"/>
        <v>85.033999999999992</v>
      </c>
      <c r="N72" s="19">
        <f t="shared" si="2"/>
        <v>86.021999999999991</v>
      </c>
      <c r="O72" s="19">
        <f t="shared" si="2"/>
        <v>85.503999999999991</v>
      </c>
      <c r="P72" s="19">
        <f t="shared" si="2"/>
        <v>84.512999999999991</v>
      </c>
      <c r="Q72" s="19">
        <f t="shared" si="2"/>
        <v>84.867999999999981</v>
      </c>
      <c r="R72" s="19">
        <f t="shared" si="2"/>
        <v>82.220999999999989</v>
      </c>
      <c r="S72" s="19">
        <f t="shared" si="2"/>
        <v>79.370999999999995</v>
      </c>
      <c r="T72" s="19">
        <f t="shared" si="2"/>
        <v>85.996999999999986</v>
      </c>
      <c r="U72" s="19">
        <f t="shared" si="2"/>
        <v>86.291999999999987</v>
      </c>
      <c r="V72" s="19">
        <f t="shared" si="2"/>
        <v>87.123999999999995</v>
      </c>
      <c r="W72" s="19">
        <f t="shared" si="2"/>
        <v>87.203999999999994</v>
      </c>
      <c r="X72" s="19">
        <f t="shared" si="2"/>
        <v>87.956999999999994</v>
      </c>
      <c r="Y72" s="19">
        <f t="shared" si="2"/>
        <v>87.41</v>
      </c>
      <c r="Z72" s="19">
        <f t="shared" si="2"/>
        <v>87.757000000000005</v>
      </c>
      <c r="AA72" s="19">
        <f t="shared" si="2"/>
        <v>86.647000000000006</v>
      </c>
      <c r="AB72" s="19">
        <f t="shared" si="2"/>
        <v>88.582999999999984</v>
      </c>
      <c r="AC72" s="19">
        <f t="shared" si="2"/>
        <v>88.781999999999982</v>
      </c>
      <c r="AD72" s="19">
        <f t="shared" si="2"/>
        <v>89.5</v>
      </c>
      <c r="AE72" s="19">
        <f t="shared" si="2"/>
        <v>86.450999999999993</v>
      </c>
      <c r="AF72" s="19">
        <f t="shared" si="2"/>
        <v>89.629000000000005</v>
      </c>
      <c r="AG72" s="19">
        <f t="shared" si="2"/>
        <v>89.816999999999979</v>
      </c>
      <c r="AH72" s="19">
        <f>SUM(C72:AG72)</f>
        <v>2627.7140000000004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2727.4989999999998</v>
      </c>
      <c r="X75" s="43"/>
      <c r="Y75" s="43"/>
      <c r="Z75" s="43"/>
      <c r="AA75" s="43">
        <v>2893.7570000000001</v>
      </c>
      <c r="AB75" s="43"/>
      <c r="AC75" s="43">
        <v>2.3279999999999998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5355.2129999999997</v>
      </c>
      <c r="X76" s="43"/>
      <c r="Y76" s="43"/>
      <c r="Z76" s="43"/>
      <c r="AA76" s="43">
        <v>5657.5190000000002</v>
      </c>
      <c r="AB76" s="43"/>
      <c r="AC76" s="43">
        <v>4.0979999999999999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7.56</v>
      </c>
      <c r="S77" s="43"/>
      <c r="U77" s="49" t="s">
        <v>48</v>
      </c>
      <c r="V77" s="51"/>
      <c r="W77" s="43">
        <v>2627.7139999999999</v>
      </c>
      <c r="X77" s="43"/>
      <c r="Y77" s="43">
        <v>0</v>
      </c>
      <c r="Z77" s="43"/>
      <c r="AA77" s="43">
        <v>2763.7620000000002</v>
      </c>
      <c r="AB77" s="43"/>
      <c r="AC77" s="43">
        <v>1.77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2627.7140000000004</v>
      </c>
      <c r="X78" s="43"/>
      <c r="Y78" s="43">
        <f>AH71</f>
        <v>0</v>
      </c>
      <c r="Z78" s="43"/>
      <c r="AA78" s="43">
        <v>2763.7620000000002</v>
      </c>
      <c r="AB78" s="43"/>
      <c r="AC78" s="43">
        <v>1.77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0</v>
      </c>
      <c r="X79" s="43"/>
      <c r="Y79" s="43">
        <f>Y77-Y78</f>
        <v>0</v>
      </c>
      <c r="Z79" s="43"/>
      <c r="AA79" s="43">
        <v>0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0</v>
      </c>
      <c r="X80" s="52"/>
      <c r="Y80" s="52">
        <f>IF(Y77&gt;0,Y79/Y77,0)</f>
        <v>0</v>
      </c>
      <c r="Z80" s="52"/>
      <c r="AA80" s="48">
        <v>0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2026-02-13T11:25:26Z</dcterms:modified>
</cp:coreProperties>
</file>