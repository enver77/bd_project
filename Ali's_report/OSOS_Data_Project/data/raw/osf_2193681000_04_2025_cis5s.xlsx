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18110001-7A82-4817-8474-7EC60FBB1C1F}" xr6:coauthVersionLast="36" xr6:coauthVersionMax="36" xr10:uidLastSave="{00000000-0000-0000-0000-000000000000}"/>
  <bookViews>
    <workbookView xWindow="-120" yWindow="-120" windowWidth="29040" windowHeight="1572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AH72" i="3" s="1"/>
  <c r="W78" i="3" s="1"/>
  <c r="W79" i="3" s="1"/>
  <c r="W80" i="3" s="1"/>
  <c r="C72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H71" i="3" s="1"/>
  <c r="Y78" i="3" s="1"/>
  <c r="Y79" i="3" s="1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<sst xmlns="http://schemas.openxmlformats.org/spreadsheetml/2006/main" count="144" uniqueCount="82">
  <si>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</si>
  <si>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</si>
  <si>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</si>
  <si>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</si>
  <si>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</si>
  <si>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</si>
  <si>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</si>
  <si>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</si>
  <si>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</si>
  <si>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</si>
  <si>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</si>
  <si>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</si>
  <si>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</si>
  <si>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</si>
  <si>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</si>
  <si>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</si>
  <si>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</si>
  <si>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</si>
  <si>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</si>
  <si>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</si>
  <si>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</si>
  <si>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</si>
  <si>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</si>
  <si>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</si>
  <si>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</si>
  <si>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</si>
  <si>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</si>
  <si>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</si>
  <si>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</si>
  <si>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</si>
  <si>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</si>
  <si>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</si>
  <si>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</si>
  <si>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</si>
  <si>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</si>
  <si>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</si>
  <si>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</si>
  <si>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</si>
  <si>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</si>
  <si>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</si>
  <si>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</si>
  <si>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</si>
  <si>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</si>
  <si>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</si>
  <si>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</si>
  <si>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</si>
  <si>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</si>
  <si>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</si>
  <si>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</si>
  <si>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</si>
  <si>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</si>
  <si>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</si>
  <si>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</si>
  <si>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</si>
  <si>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</si>
  <si>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</si>
  <si>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</si>
  <si>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</si>
  <si>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</si>
  <si>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</si>
  <si>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</si>
  <si>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</si>
  <si>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</si>
  <si>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</si>
  <si>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</si>
  <si>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</si>
  <si>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</si>
  <si>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</si>
  <si>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</si>
  <si>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</si>
  <si>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</si>
  <si>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</si>
  <si>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</si>
  <si>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</si>
  <si>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</si>
  <si>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</si>
  <si>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</si>
  <si>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</si>
  <si>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</si>
  <si>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04/2025</t>
  </si>
  <si>
    <t>Cadde-Sokak</t>
  </si>
  <si>
    <t>01/04/2025 03:45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</si>
</sst>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topLeftCell="F1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/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7.2690000000000001</v>
      </c>
      <c r="D24" s="21">
        <v>7.1429999999999998</v>
      </c>
      <c r="E24" s="21">
        <v>7.0789999999999997</v>
      </c>
      <c r="F24" s="21">
        <v>7.0380000000000003</v>
      </c>
      <c r="G24" s="21">
        <v>7.1589999999999998</v>
      </c>
      <c r="H24" s="21">
        <v>7.202</v>
      </c>
      <c r="I24" s="21">
        <v>7.1920000000000002</v>
      </c>
      <c r="J24" s="21">
        <v>7.0640000000000001</v>
      </c>
      <c r="K24" s="21">
        <v>7.08</v>
      </c>
      <c r="L24" s="21">
        <v>7.1689999999999996</v>
      </c>
      <c r="M24" s="21">
        <v>7.0510000000000002</v>
      </c>
      <c r="N24" s="21">
        <v>6.9390000000000001</v>
      </c>
      <c r="O24" s="21">
        <v>6.9980000000000002</v>
      </c>
      <c r="P24" s="21">
        <v>7.181</v>
      </c>
      <c r="Q24" s="21">
        <v>7.1189999999999998</v>
      </c>
      <c r="R24" s="21">
        <v>7.1449999999999996</v>
      </c>
      <c r="S24" s="21">
        <v>6.98</v>
      </c>
      <c r="T24" s="21">
        <v>7.13</v>
      </c>
      <c r="U24" s="21">
        <v>6.93</v>
      </c>
      <c r="V24" s="21">
        <v>7.1559999999999997</v>
      </c>
      <c r="W24" s="21">
        <v>7.14</v>
      </c>
      <c r="X24" s="21">
        <v>7.0209999999999999</v>
      </c>
      <c r="Y24" s="21">
        <v>7.008</v>
      </c>
      <c r="Z24" s="21">
        <v>7.1749999999999998</v>
      </c>
      <c r="AA24" s="21">
        <v>6.9909999999999997</v>
      </c>
      <c r="AB24" s="21">
        <v>6.9820000000000002</v>
      </c>
      <c r="AC24" s="21">
        <v>6.9859999999999998</v>
      </c>
      <c r="AD24" s="21">
        <v>6.9859999999999998</v>
      </c>
      <c r="AE24" s="21">
        <v>6.9859999999999998</v>
      </c>
      <c r="AF24" s="21">
        <v>7.0039999999999996</v>
      </c>
      <c r="AG24" s="21"/>
      <c r="AH24" s="19">
        <f t="shared" ref="AH24:AH70" si="0">SUM(C24:AG24)</f>
        <v>212.30299999999994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/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7.3879999999999999</v>
      </c>
      <c r="D26" s="21">
        <v>7.2220000000000004</v>
      </c>
      <c r="E26" s="21">
        <v>7.1550000000000002</v>
      </c>
      <c r="F26" s="21">
        <v>7.1539999999999999</v>
      </c>
      <c r="G26" s="21">
        <v>7.258</v>
      </c>
      <c r="H26" s="21">
        <v>7.2240000000000002</v>
      </c>
      <c r="I26" s="21">
        <v>7.2039999999999997</v>
      </c>
      <c r="J26" s="21">
        <v>7.1429999999999998</v>
      </c>
      <c r="K26" s="21">
        <v>7.1239999999999997</v>
      </c>
      <c r="L26" s="21">
        <v>7.165</v>
      </c>
      <c r="M26" s="21">
        <v>7.1180000000000003</v>
      </c>
      <c r="N26" s="21">
        <v>7.0389999999999997</v>
      </c>
      <c r="O26" s="21">
        <v>7.1870000000000003</v>
      </c>
      <c r="P26" s="21">
        <v>7.2030000000000003</v>
      </c>
      <c r="Q26" s="21">
        <v>7.1710000000000003</v>
      </c>
      <c r="R26" s="21">
        <v>7.2140000000000004</v>
      </c>
      <c r="S26" s="21">
        <v>7.0529999999999999</v>
      </c>
      <c r="T26" s="21">
        <v>7.08</v>
      </c>
      <c r="U26" s="21">
        <v>7.0739999999999998</v>
      </c>
      <c r="V26" s="21">
        <v>7.2309999999999999</v>
      </c>
      <c r="W26" s="21">
        <v>7.1630000000000003</v>
      </c>
      <c r="X26" s="21">
        <v>7.1040000000000001</v>
      </c>
      <c r="Y26" s="21">
        <v>7.0439999999999996</v>
      </c>
      <c r="Z26" s="21">
        <v>7.2039999999999997</v>
      </c>
      <c r="AA26" s="21">
        <v>7.0949999999999998</v>
      </c>
      <c r="AB26" s="21">
        <v>7.016</v>
      </c>
      <c r="AC26" s="21">
        <v>7.0250000000000004</v>
      </c>
      <c r="AD26" s="21">
        <v>7.1020000000000003</v>
      </c>
      <c r="AE26" s="21">
        <v>7.0049999999999999</v>
      </c>
      <c r="AF26" s="21">
        <v>7.1</v>
      </c>
      <c r="AG26" s="21"/>
      <c r="AH26" s="19">
        <f t="shared" si="0"/>
        <v>214.26500000000004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/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7.4829999999999997</v>
      </c>
      <c r="D28" s="21">
        <v>7.306</v>
      </c>
      <c r="E28" s="21">
        <v>7.2270000000000003</v>
      </c>
      <c r="F28" s="21">
        <v>7.226</v>
      </c>
      <c r="G28" s="21">
        <v>7.2789999999999999</v>
      </c>
      <c r="H28" s="21">
        <v>7.2619999999999996</v>
      </c>
      <c r="I28" s="21">
        <v>7.2850000000000001</v>
      </c>
      <c r="J28" s="21">
        <v>7.2370000000000001</v>
      </c>
      <c r="K28" s="21">
        <v>7.1820000000000004</v>
      </c>
      <c r="L28" s="21">
        <v>7.2409999999999997</v>
      </c>
      <c r="M28" s="21">
        <v>7.1890000000000001</v>
      </c>
      <c r="N28" s="21">
        <v>7.1029999999999998</v>
      </c>
      <c r="O28" s="21">
        <v>7.1669999999999998</v>
      </c>
      <c r="P28" s="21">
        <v>7.3019999999999996</v>
      </c>
      <c r="Q28" s="21">
        <v>7.2679999999999998</v>
      </c>
      <c r="R28" s="21">
        <v>7.2610000000000001</v>
      </c>
      <c r="S28" s="21">
        <v>7.11</v>
      </c>
      <c r="T28" s="21">
        <v>7.1269999999999998</v>
      </c>
      <c r="U28" s="21">
        <v>7.2110000000000003</v>
      </c>
      <c r="V28" s="21">
        <v>7.2169999999999996</v>
      </c>
      <c r="W28" s="21">
        <v>7.218</v>
      </c>
      <c r="X28" s="21">
        <v>7.0880000000000001</v>
      </c>
      <c r="Y28" s="21">
        <v>7.05</v>
      </c>
      <c r="Z28" s="21">
        <v>7.242</v>
      </c>
      <c r="AA28" s="21">
        <v>7.1369999999999996</v>
      </c>
      <c r="AB28" s="21">
        <v>7.1</v>
      </c>
      <c r="AC28" s="21">
        <v>6.968</v>
      </c>
      <c r="AD28" s="21">
        <v>7.1210000000000004</v>
      </c>
      <c r="AE28" s="21">
        <v>7.0730000000000004</v>
      </c>
      <c r="AF28" s="21">
        <v>7.0670000000000002</v>
      </c>
      <c r="AG28" s="21"/>
      <c r="AH28" s="19">
        <f t="shared" si="0"/>
        <v>215.74700000000001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/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7.532</v>
      </c>
      <c r="D30" s="21">
        <v>7.3179999999999996</v>
      </c>
      <c r="E30" s="21">
        <v>7.2629999999999999</v>
      </c>
      <c r="F30" s="21">
        <v>7.23</v>
      </c>
      <c r="G30" s="21">
        <v>7.3140000000000001</v>
      </c>
      <c r="H30" s="21">
        <v>7.3339999999999996</v>
      </c>
      <c r="I30" s="21">
        <v>7.3369999999999997</v>
      </c>
      <c r="J30" s="21">
        <v>7.1230000000000002</v>
      </c>
      <c r="K30" s="21">
        <v>7.1989999999999998</v>
      </c>
      <c r="L30" s="21">
        <v>7.2939999999999996</v>
      </c>
      <c r="M30" s="21">
        <v>7.2350000000000003</v>
      </c>
      <c r="N30" s="21">
        <v>7.1239999999999997</v>
      </c>
      <c r="O30" s="21">
        <v>7.2359999999999998</v>
      </c>
      <c r="P30" s="21">
        <v>7.3490000000000002</v>
      </c>
      <c r="Q30" s="21">
        <v>7.3170000000000002</v>
      </c>
      <c r="R30" s="21">
        <v>7.306</v>
      </c>
      <c r="S30" s="21">
        <v>7.15</v>
      </c>
      <c r="T30" s="21">
        <v>7.1539999999999999</v>
      </c>
      <c r="U30" s="21">
        <v>7.2279999999999998</v>
      </c>
      <c r="V30" s="21">
        <v>7.2149999999999999</v>
      </c>
      <c r="W30" s="21">
        <v>7.266</v>
      </c>
      <c r="X30" s="21">
        <v>7.1150000000000002</v>
      </c>
      <c r="Y30" s="21">
        <v>6.9980000000000002</v>
      </c>
      <c r="Z30" s="21">
        <v>7.0910000000000002</v>
      </c>
      <c r="AA30" s="21">
        <v>7.1369999999999996</v>
      </c>
      <c r="AB30" s="21">
        <v>7.141</v>
      </c>
      <c r="AC30" s="21">
        <v>6.9969999999999999</v>
      </c>
      <c r="AD30" s="21">
        <v>7.15</v>
      </c>
      <c r="AE30" s="21">
        <v>7.1269999999999998</v>
      </c>
      <c r="AF30" s="21">
        <v>7.1150000000000002</v>
      </c>
      <c r="AG30" s="21"/>
      <c r="AH30" s="19">
        <f t="shared" si="0"/>
        <v>216.39500000000007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/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7.5090000000000003</v>
      </c>
      <c r="D32" s="21">
        <v>7.2880000000000003</v>
      </c>
      <c r="E32" s="21">
        <v>7.2759999999999998</v>
      </c>
      <c r="F32" s="21">
        <v>7.2329999999999997</v>
      </c>
      <c r="G32" s="21">
        <v>7.3579999999999997</v>
      </c>
      <c r="H32" s="21">
        <v>7.391</v>
      </c>
      <c r="I32" s="21">
        <v>7.3739999999999997</v>
      </c>
      <c r="J32" s="21">
        <v>7.1529999999999996</v>
      </c>
      <c r="K32" s="21">
        <v>7.2119999999999997</v>
      </c>
      <c r="L32" s="21">
        <v>7.2380000000000004</v>
      </c>
      <c r="M32" s="21">
        <v>7.2629999999999999</v>
      </c>
      <c r="N32" s="21">
        <v>7.1619999999999999</v>
      </c>
      <c r="O32" s="21">
        <v>7.266</v>
      </c>
      <c r="P32" s="21">
        <v>7.359</v>
      </c>
      <c r="Q32" s="21">
        <v>7.2880000000000003</v>
      </c>
      <c r="R32" s="21">
        <v>7.3140000000000001</v>
      </c>
      <c r="S32" s="21">
        <v>7.18</v>
      </c>
      <c r="T32" s="21">
        <v>7.15</v>
      </c>
      <c r="U32" s="21">
        <v>7.2889999999999997</v>
      </c>
      <c r="V32" s="21">
        <v>7.2430000000000003</v>
      </c>
      <c r="W32" s="21">
        <v>7.3129999999999997</v>
      </c>
      <c r="X32" s="21">
        <v>7.1440000000000001</v>
      </c>
      <c r="Y32" s="21">
        <v>6.7359999999999998</v>
      </c>
      <c r="Z32" s="21">
        <v>7.2130000000000001</v>
      </c>
      <c r="AA32" s="21">
        <v>7.1520000000000001</v>
      </c>
      <c r="AB32" s="21">
        <v>7.2329999999999997</v>
      </c>
      <c r="AC32" s="21">
        <v>7.0510000000000002</v>
      </c>
      <c r="AD32" s="21">
        <v>7.1210000000000004</v>
      </c>
      <c r="AE32" s="21">
        <v>7.1369999999999996</v>
      </c>
      <c r="AF32" s="21">
        <v>7.157</v>
      </c>
      <c r="AG32" s="21"/>
      <c r="AH32" s="19">
        <f t="shared" si="0"/>
        <v>216.80299999999997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/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7.5039999999999996</v>
      </c>
      <c r="D34" s="21">
        <v>7.2320000000000002</v>
      </c>
      <c r="E34" s="21">
        <v>7.266</v>
      </c>
      <c r="F34" s="21">
        <v>7.2130000000000001</v>
      </c>
      <c r="G34" s="21">
        <v>7.3490000000000002</v>
      </c>
      <c r="H34" s="21">
        <v>7.3849999999999998</v>
      </c>
      <c r="I34" s="21">
        <v>7.3410000000000002</v>
      </c>
      <c r="J34" s="21">
        <v>7.133</v>
      </c>
      <c r="K34" s="21">
        <v>7.2069999999999999</v>
      </c>
      <c r="L34" s="21">
        <v>7.2240000000000002</v>
      </c>
      <c r="M34" s="21">
        <v>7.2409999999999997</v>
      </c>
      <c r="N34" s="21">
        <v>7.1509999999999998</v>
      </c>
      <c r="O34" s="21">
        <v>7.298</v>
      </c>
      <c r="P34" s="21">
        <v>7.3360000000000003</v>
      </c>
      <c r="Q34" s="21">
        <v>7.2510000000000003</v>
      </c>
      <c r="R34" s="21">
        <v>7.202</v>
      </c>
      <c r="S34" s="21">
        <v>7.1710000000000003</v>
      </c>
      <c r="T34" s="21">
        <v>7.1349999999999998</v>
      </c>
      <c r="U34" s="21">
        <v>7.2809999999999997</v>
      </c>
      <c r="V34" s="21">
        <v>7.2309999999999999</v>
      </c>
      <c r="W34" s="21">
        <v>7.2939999999999996</v>
      </c>
      <c r="X34" s="21">
        <v>7.15</v>
      </c>
      <c r="Y34" s="21">
        <v>6.7220000000000004</v>
      </c>
      <c r="Z34" s="21">
        <v>7.2110000000000003</v>
      </c>
      <c r="AA34" s="21">
        <v>7.1150000000000002</v>
      </c>
      <c r="AB34" s="21">
        <v>7.3079999999999998</v>
      </c>
      <c r="AC34" s="21">
        <v>7.0819999999999999</v>
      </c>
      <c r="AD34" s="21">
        <v>7.1029999999999998</v>
      </c>
      <c r="AE34" s="21">
        <v>7.1360000000000001</v>
      </c>
      <c r="AF34" s="21">
        <v>7.1349999999999998</v>
      </c>
      <c r="AG34" s="21"/>
      <c r="AH34" s="19">
        <f t="shared" si="0"/>
        <v>216.40700000000004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/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5.867</v>
      </c>
      <c r="D36" s="21">
        <v>5.4020000000000001</v>
      </c>
      <c r="E36" s="21">
        <v>5.1980000000000004</v>
      </c>
      <c r="F36" s="21">
        <v>5.0179999999999998</v>
      </c>
      <c r="G36" s="21">
        <v>4.8879999999999999</v>
      </c>
      <c r="H36" s="21">
        <v>4.6769999999999996</v>
      </c>
      <c r="I36" s="21">
        <v>4.4809999999999999</v>
      </c>
      <c r="J36" s="21">
        <v>4.13</v>
      </c>
      <c r="K36" s="21">
        <v>4.04</v>
      </c>
      <c r="L36" s="21">
        <v>3.8140000000000001</v>
      </c>
      <c r="M36" s="21">
        <v>3.589</v>
      </c>
      <c r="N36" s="21">
        <v>3.4369999999999998</v>
      </c>
      <c r="O36" s="21">
        <v>3.2679999999999998</v>
      </c>
      <c r="P36" s="21">
        <v>3.14</v>
      </c>
      <c r="Q36" s="21">
        <v>2.8660000000000001</v>
      </c>
      <c r="R36" s="21">
        <v>2.702</v>
      </c>
      <c r="S36" s="21">
        <v>2.468</v>
      </c>
      <c r="T36" s="21">
        <v>2.3330000000000002</v>
      </c>
      <c r="U36" s="21">
        <v>2.1379999999999999</v>
      </c>
      <c r="V36" s="21">
        <v>2</v>
      </c>
      <c r="W36" s="21">
        <v>1.768</v>
      </c>
      <c r="X36" s="21">
        <v>1.611</v>
      </c>
      <c r="Y36" s="21">
        <v>1.3120000000000001</v>
      </c>
      <c r="Z36" s="21">
        <v>1.2609999999999999</v>
      </c>
      <c r="AA36" s="21">
        <v>1.0049999999999999</v>
      </c>
      <c r="AB36" s="21">
        <v>0.91500000000000004</v>
      </c>
      <c r="AC36" s="21">
        <v>0.76500000000000001</v>
      </c>
      <c r="AD36" s="21">
        <v>0.52100000000000002</v>
      </c>
      <c r="AE36" s="21">
        <v>0.40300000000000002</v>
      </c>
      <c r="AF36" s="21">
        <v>0.28100000000000003</v>
      </c>
      <c r="AG36" s="21"/>
      <c r="AH36" s="19">
        <f t="shared" si="0"/>
        <v>85.298000000000016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/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1E-3</v>
      </c>
      <c r="D38" s="21">
        <v>1E-3</v>
      </c>
      <c r="E38" s="21">
        <v>0</v>
      </c>
      <c r="F38" s="21">
        <v>0</v>
      </c>
      <c r="G38" s="21">
        <v>1E-3</v>
      </c>
      <c r="H38" s="21">
        <v>0</v>
      </c>
      <c r="I38" s="21">
        <v>0</v>
      </c>
      <c r="J38" s="21">
        <v>0</v>
      </c>
      <c r="K38" s="21">
        <v>0</v>
      </c>
      <c r="L38" s="21">
        <v>1E-3</v>
      </c>
      <c r="M38" s="21">
        <v>0</v>
      </c>
      <c r="N38" s="21">
        <v>0</v>
      </c>
      <c r="O38" s="21">
        <v>0</v>
      </c>
      <c r="P38" s="21">
        <v>1E-3</v>
      </c>
      <c r="Q38" s="21">
        <v>0</v>
      </c>
      <c r="R38" s="21">
        <v>1E-3</v>
      </c>
      <c r="S38" s="21">
        <v>0</v>
      </c>
      <c r="T38" s="21">
        <v>0</v>
      </c>
      <c r="U38" s="21">
        <v>1E-3</v>
      </c>
      <c r="V38" s="21">
        <v>0</v>
      </c>
      <c r="W38" s="21">
        <v>1E-3</v>
      </c>
      <c r="X38" s="21">
        <v>0</v>
      </c>
      <c r="Y38" s="21">
        <v>0</v>
      </c>
      <c r="Z38" s="21">
        <v>1E-3</v>
      </c>
      <c r="AA38" s="21">
        <v>1E-3</v>
      </c>
      <c r="AB38" s="21">
        <v>0</v>
      </c>
      <c r="AC38" s="21">
        <v>0</v>
      </c>
      <c r="AD38" s="21">
        <v>0</v>
      </c>
      <c r="AE38" s="21">
        <v>1E-3</v>
      </c>
      <c r="AF38" s="21">
        <v>1E-3</v>
      </c>
      <c r="AG38" s="21"/>
      <c r="AH38" s="19">
        <f t="shared" si="0"/>
        <v>1.2000000000000004E-2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/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0</v>
      </c>
      <c r="D40" s="21">
        <v>0</v>
      </c>
      <c r="E40" s="21">
        <v>1E-3</v>
      </c>
      <c r="F40" s="21">
        <v>1E-3</v>
      </c>
      <c r="G40" s="21">
        <v>0</v>
      </c>
      <c r="H40" s="21">
        <v>1E-3</v>
      </c>
      <c r="I40" s="21">
        <v>1E-3</v>
      </c>
      <c r="J40" s="21">
        <v>1E-3</v>
      </c>
      <c r="K40" s="21">
        <v>1E-3</v>
      </c>
      <c r="L40" s="21">
        <v>0</v>
      </c>
      <c r="M40" s="21">
        <v>1E-3</v>
      </c>
      <c r="N40" s="21">
        <v>1E-3</v>
      </c>
      <c r="O40" s="21">
        <v>1E-3</v>
      </c>
      <c r="P40" s="21">
        <v>0</v>
      </c>
      <c r="Q40" s="21">
        <v>1E-3</v>
      </c>
      <c r="R40" s="21">
        <v>0</v>
      </c>
      <c r="S40" s="21">
        <v>1E-3</v>
      </c>
      <c r="T40" s="21">
        <v>1E-3</v>
      </c>
      <c r="U40" s="21">
        <v>0</v>
      </c>
      <c r="V40" s="21">
        <v>1E-3</v>
      </c>
      <c r="W40" s="21">
        <v>0</v>
      </c>
      <c r="X40" s="21">
        <v>1E-3</v>
      </c>
      <c r="Y40" s="21">
        <v>1E-3</v>
      </c>
      <c r="Z40" s="21">
        <v>0</v>
      </c>
      <c r="AA40" s="21">
        <v>0</v>
      </c>
      <c r="AB40" s="21">
        <v>1E-3</v>
      </c>
      <c r="AC40" s="21">
        <v>0</v>
      </c>
      <c r="AD40" s="21">
        <v>1E-3</v>
      </c>
      <c r="AE40" s="21">
        <v>0</v>
      </c>
      <c r="AF40" s="21">
        <v>0</v>
      </c>
      <c r="AG40" s="21"/>
      <c r="AH40" s="19">
        <f t="shared" si="0"/>
        <v>1.7000000000000008E-2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/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1E-3</v>
      </c>
      <c r="D42" s="21">
        <v>0</v>
      </c>
      <c r="E42" s="21">
        <v>0</v>
      </c>
      <c r="F42" s="21">
        <v>0</v>
      </c>
      <c r="G42" s="21">
        <v>1E-3</v>
      </c>
      <c r="H42" s="21">
        <v>0</v>
      </c>
      <c r="I42" s="21">
        <v>0</v>
      </c>
      <c r="J42" s="21">
        <v>0</v>
      </c>
      <c r="K42" s="21">
        <v>0</v>
      </c>
      <c r="L42" s="21">
        <v>1E-3</v>
      </c>
      <c r="M42" s="21">
        <v>0</v>
      </c>
      <c r="N42" s="21">
        <v>0</v>
      </c>
      <c r="O42" s="21">
        <v>0</v>
      </c>
      <c r="P42" s="21">
        <v>1E-3</v>
      </c>
      <c r="Q42" s="21">
        <v>0</v>
      </c>
      <c r="R42" s="21">
        <v>1E-3</v>
      </c>
      <c r="S42" s="21">
        <v>0</v>
      </c>
      <c r="T42" s="21">
        <v>0</v>
      </c>
      <c r="U42" s="21">
        <v>1E-3</v>
      </c>
      <c r="V42" s="21">
        <v>0</v>
      </c>
      <c r="W42" s="21">
        <v>1E-3</v>
      </c>
      <c r="X42" s="21">
        <v>0</v>
      </c>
      <c r="Y42" s="21">
        <v>0</v>
      </c>
      <c r="Z42" s="21">
        <v>0</v>
      </c>
      <c r="AA42" s="21">
        <v>1E-3</v>
      </c>
      <c r="AB42" s="21">
        <v>0</v>
      </c>
      <c r="AC42" s="21">
        <v>1E-3</v>
      </c>
      <c r="AD42" s="21">
        <v>0</v>
      </c>
      <c r="AE42" s="21">
        <v>1E-3</v>
      </c>
      <c r="AF42" s="21">
        <v>1E-3</v>
      </c>
      <c r="AG42" s="21"/>
      <c r="AH42" s="19">
        <f t="shared" si="0"/>
        <v>1.1000000000000003E-2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/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0</v>
      </c>
      <c r="D44" s="21">
        <v>1E-3</v>
      </c>
      <c r="E44" s="21">
        <v>1E-3</v>
      </c>
      <c r="F44" s="21">
        <v>1E-3</v>
      </c>
      <c r="G44" s="21">
        <v>0</v>
      </c>
      <c r="H44" s="21">
        <v>1E-3</v>
      </c>
      <c r="I44" s="21">
        <v>1E-3</v>
      </c>
      <c r="J44" s="21">
        <v>1E-3</v>
      </c>
      <c r="K44" s="21">
        <v>1E-3</v>
      </c>
      <c r="L44" s="21">
        <v>0</v>
      </c>
      <c r="M44" s="21">
        <v>1E-3</v>
      </c>
      <c r="N44" s="21">
        <v>1E-3</v>
      </c>
      <c r="O44" s="21">
        <v>1E-3</v>
      </c>
      <c r="P44" s="21">
        <v>0</v>
      </c>
      <c r="Q44" s="21">
        <v>1E-3</v>
      </c>
      <c r="R44" s="21">
        <v>0</v>
      </c>
      <c r="S44" s="21">
        <v>0</v>
      </c>
      <c r="T44" s="21">
        <v>1E-3</v>
      </c>
      <c r="U44" s="21">
        <v>0</v>
      </c>
      <c r="V44" s="21">
        <v>1E-3</v>
      </c>
      <c r="W44" s="21">
        <v>0</v>
      </c>
      <c r="X44" s="21">
        <v>1E-3</v>
      </c>
      <c r="Y44" s="21">
        <v>1E-3</v>
      </c>
      <c r="Z44" s="21">
        <v>1E-3</v>
      </c>
      <c r="AA44" s="21">
        <v>0</v>
      </c>
      <c r="AB44" s="21">
        <v>1E-3</v>
      </c>
      <c r="AC44" s="21">
        <v>0</v>
      </c>
      <c r="AD44" s="21">
        <v>1E-3</v>
      </c>
      <c r="AE44" s="21">
        <v>0</v>
      </c>
      <c r="AF44" s="21">
        <v>0</v>
      </c>
      <c r="AG44" s="21"/>
      <c r="AH44" s="19">
        <f t="shared" si="0"/>
        <v>1.8000000000000009E-2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/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1E-3</v>
      </c>
      <c r="D46" s="21">
        <v>0</v>
      </c>
      <c r="E46" s="21">
        <v>0</v>
      </c>
      <c r="F46" s="21">
        <v>0</v>
      </c>
      <c r="G46" s="21">
        <v>1E-3</v>
      </c>
      <c r="H46" s="21">
        <v>0</v>
      </c>
      <c r="I46" s="21">
        <v>0</v>
      </c>
      <c r="J46" s="21">
        <v>0</v>
      </c>
      <c r="K46" s="21">
        <v>0</v>
      </c>
      <c r="L46" s="21">
        <v>1E-3</v>
      </c>
      <c r="M46" s="21">
        <v>0</v>
      </c>
      <c r="N46" s="21">
        <v>0</v>
      </c>
      <c r="O46" s="21">
        <v>0</v>
      </c>
      <c r="P46" s="21">
        <v>1E-3</v>
      </c>
      <c r="Q46" s="21">
        <v>0</v>
      </c>
      <c r="R46" s="21">
        <v>1E-3</v>
      </c>
      <c r="S46" s="21">
        <v>1E-3</v>
      </c>
      <c r="T46" s="21">
        <v>0</v>
      </c>
      <c r="U46" s="21">
        <v>1E-3</v>
      </c>
      <c r="V46" s="21">
        <v>0</v>
      </c>
      <c r="W46" s="21">
        <v>1E-3</v>
      </c>
      <c r="X46" s="21">
        <v>0</v>
      </c>
      <c r="Y46" s="21">
        <v>0</v>
      </c>
      <c r="Z46" s="21">
        <v>0</v>
      </c>
      <c r="AA46" s="21">
        <v>1E-3</v>
      </c>
      <c r="AB46" s="21">
        <v>0</v>
      </c>
      <c r="AC46" s="21">
        <v>1E-3</v>
      </c>
      <c r="AD46" s="21">
        <v>0</v>
      </c>
      <c r="AE46" s="21">
        <v>1E-3</v>
      </c>
      <c r="AF46" s="21">
        <v>1E-3</v>
      </c>
      <c r="AG46" s="21"/>
      <c r="AH46" s="19">
        <f t="shared" si="0"/>
        <v>1.2000000000000004E-2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/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0</v>
      </c>
      <c r="D48" s="21">
        <v>1E-3</v>
      </c>
      <c r="E48" s="21">
        <v>1E-3</v>
      </c>
      <c r="F48" s="21">
        <v>1E-3</v>
      </c>
      <c r="G48" s="21">
        <v>0</v>
      </c>
      <c r="H48" s="21">
        <v>1E-3</v>
      </c>
      <c r="I48" s="21">
        <v>1E-3</v>
      </c>
      <c r="J48" s="21">
        <v>1E-3</v>
      </c>
      <c r="K48" s="21">
        <v>1E-3</v>
      </c>
      <c r="L48" s="21">
        <v>0</v>
      </c>
      <c r="M48" s="21">
        <v>1E-3</v>
      </c>
      <c r="N48" s="21">
        <v>1E-3</v>
      </c>
      <c r="O48" s="21">
        <v>1E-3</v>
      </c>
      <c r="P48" s="21">
        <v>0</v>
      </c>
      <c r="Q48" s="21">
        <v>0</v>
      </c>
      <c r="R48" s="21">
        <v>0</v>
      </c>
      <c r="S48" s="21">
        <v>0</v>
      </c>
      <c r="T48" s="21">
        <v>1E-3</v>
      </c>
      <c r="U48" s="21">
        <v>0</v>
      </c>
      <c r="V48" s="21">
        <v>1E-3</v>
      </c>
      <c r="W48" s="21">
        <v>0</v>
      </c>
      <c r="X48" s="21">
        <v>1E-3</v>
      </c>
      <c r="Y48" s="21">
        <v>1E-3</v>
      </c>
      <c r="Z48" s="21">
        <v>1E-3</v>
      </c>
      <c r="AA48" s="21">
        <v>0</v>
      </c>
      <c r="AB48" s="21">
        <v>1E-3</v>
      </c>
      <c r="AC48" s="21">
        <v>0</v>
      </c>
      <c r="AD48" s="21">
        <v>1E-3</v>
      </c>
      <c r="AE48" s="21">
        <v>0</v>
      </c>
      <c r="AF48" s="21">
        <v>0</v>
      </c>
      <c r="AG48" s="21"/>
      <c r="AH48" s="19">
        <f t="shared" si="0"/>
        <v>1.7000000000000008E-2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/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1E-3</v>
      </c>
      <c r="D50" s="21">
        <v>0</v>
      </c>
      <c r="E50" s="21">
        <v>0</v>
      </c>
      <c r="F50" s="21">
        <v>0</v>
      </c>
      <c r="G50" s="21">
        <v>1E-3</v>
      </c>
      <c r="H50" s="21">
        <v>0</v>
      </c>
      <c r="I50" s="21">
        <v>0</v>
      </c>
      <c r="J50" s="21">
        <v>0</v>
      </c>
      <c r="K50" s="21">
        <v>0</v>
      </c>
      <c r="L50" s="21">
        <v>1E-3</v>
      </c>
      <c r="M50" s="21">
        <v>0</v>
      </c>
      <c r="N50" s="21">
        <v>0</v>
      </c>
      <c r="O50" s="21">
        <v>0</v>
      </c>
      <c r="P50" s="21">
        <v>1E-3</v>
      </c>
      <c r="Q50" s="21">
        <v>1E-3</v>
      </c>
      <c r="R50" s="21">
        <v>1E-3</v>
      </c>
      <c r="S50" s="21">
        <v>1E-3</v>
      </c>
      <c r="T50" s="21">
        <v>0</v>
      </c>
      <c r="U50" s="21">
        <v>1E-3</v>
      </c>
      <c r="V50" s="21">
        <v>0</v>
      </c>
      <c r="W50" s="21">
        <v>1E-3</v>
      </c>
      <c r="X50" s="21">
        <v>0</v>
      </c>
      <c r="Y50" s="21">
        <v>0</v>
      </c>
      <c r="Z50" s="21">
        <v>0</v>
      </c>
      <c r="AA50" s="21">
        <v>1E-3</v>
      </c>
      <c r="AB50" s="21">
        <v>0</v>
      </c>
      <c r="AC50" s="21">
        <v>1E-3</v>
      </c>
      <c r="AD50" s="21">
        <v>0</v>
      </c>
      <c r="AE50" s="21">
        <v>1E-3</v>
      </c>
      <c r="AF50" s="21">
        <v>1E-3</v>
      </c>
      <c r="AG50" s="21"/>
      <c r="AH50" s="19">
        <f t="shared" si="0"/>
        <v>1.3000000000000005E-2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/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0</v>
      </c>
      <c r="D52" s="21">
        <v>1E-3</v>
      </c>
      <c r="E52" s="21">
        <v>1E-3</v>
      </c>
      <c r="F52" s="21">
        <v>1E-3</v>
      </c>
      <c r="G52" s="21">
        <v>0</v>
      </c>
      <c r="H52" s="21">
        <v>1E-3</v>
      </c>
      <c r="I52" s="21">
        <v>1E-3</v>
      </c>
      <c r="J52" s="21">
        <v>0</v>
      </c>
      <c r="K52" s="21">
        <v>1E-3</v>
      </c>
      <c r="L52" s="21">
        <v>0</v>
      </c>
      <c r="M52" s="21">
        <v>1E-3</v>
      </c>
      <c r="N52" s="21">
        <v>1E-3</v>
      </c>
      <c r="O52" s="21">
        <v>1E-3</v>
      </c>
      <c r="P52" s="21">
        <v>0</v>
      </c>
      <c r="Q52" s="21">
        <v>0</v>
      </c>
      <c r="R52" s="21">
        <v>0</v>
      </c>
      <c r="S52" s="21">
        <v>0</v>
      </c>
      <c r="T52" s="21">
        <v>1E-3</v>
      </c>
      <c r="U52" s="21">
        <v>0</v>
      </c>
      <c r="V52" s="21">
        <v>1E-3</v>
      </c>
      <c r="W52" s="21">
        <v>0</v>
      </c>
      <c r="X52" s="21">
        <v>0</v>
      </c>
      <c r="Y52" s="21">
        <v>1E-3</v>
      </c>
      <c r="Z52" s="21">
        <v>1E-3</v>
      </c>
      <c r="AA52" s="21">
        <v>0</v>
      </c>
      <c r="AB52" s="21">
        <v>1E-3</v>
      </c>
      <c r="AC52" s="21">
        <v>0</v>
      </c>
      <c r="AD52" s="21">
        <v>1E-3</v>
      </c>
      <c r="AE52" s="21">
        <v>0</v>
      </c>
      <c r="AF52" s="21">
        <v>0</v>
      </c>
      <c r="AG52" s="21"/>
      <c r="AH52" s="19">
        <f t="shared" si="0"/>
        <v>1.5000000000000006E-2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/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1E-3</v>
      </c>
      <c r="D54" s="21">
        <v>0</v>
      </c>
      <c r="E54" s="21">
        <v>0</v>
      </c>
      <c r="F54" s="21">
        <v>0</v>
      </c>
      <c r="G54" s="21">
        <v>1E-3</v>
      </c>
      <c r="H54" s="21">
        <v>0</v>
      </c>
      <c r="I54" s="21">
        <v>0</v>
      </c>
      <c r="J54" s="21">
        <v>1E-3</v>
      </c>
      <c r="K54" s="21">
        <v>0</v>
      </c>
      <c r="L54" s="21">
        <v>1E-3</v>
      </c>
      <c r="M54" s="21">
        <v>0</v>
      </c>
      <c r="N54" s="21">
        <v>0</v>
      </c>
      <c r="O54" s="21">
        <v>0</v>
      </c>
      <c r="P54" s="21">
        <v>1E-3</v>
      </c>
      <c r="Q54" s="21">
        <v>1E-3</v>
      </c>
      <c r="R54" s="21">
        <v>1E-3</v>
      </c>
      <c r="S54" s="21">
        <v>1E-3</v>
      </c>
      <c r="T54" s="21">
        <v>0</v>
      </c>
      <c r="U54" s="21">
        <v>1E-3</v>
      </c>
      <c r="V54" s="21">
        <v>0</v>
      </c>
      <c r="W54" s="21">
        <v>1E-3</v>
      </c>
      <c r="X54" s="21">
        <v>1E-3</v>
      </c>
      <c r="Y54" s="21">
        <v>0</v>
      </c>
      <c r="Z54" s="21">
        <v>0</v>
      </c>
      <c r="AA54" s="21">
        <v>1E-3</v>
      </c>
      <c r="AB54" s="21">
        <v>0</v>
      </c>
      <c r="AC54" s="21">
        <v>1E-3</v>
      </c>
      <c r="AD54" s="21">
        <v>0</v>
      </c>
      <c r="AE54" s="21">
        <v>1E-3</v>
      </c>
      <c r="AF54" s="21">
        <v>1E-3</v>
      </c>
      <c r="AG54" s="21"/>
      <c r="AH54" s="19">
        <f t="shared" si="0"/>
        <v>1.5000000000000006E-2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/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0</v>
      </c>
      <c r="D56" s="21">
        <v>1E-3</v>
      </c>
      <c r="E56" s="21">
        <v>1E-3</v>
      </c>
      <c r="F56" s="21">
        <v>1E-3</v>
      </c>
      <c r="G56" s="21">
        <v>0</v>
      </c>
      <c r="H56" s="21">
        <v>1E-3</v>
      </c>
      <c r="I56" s="21">
        <v>1E-3</v>
      </c>
      <c r="J56" s="21">
        <v>0</v>
      </c>
      <c r="K56" s="21">
        <v>1E-3</v>
      </c>
      <c r="L56" s="21">
        <v>0</v>
      </c>
      <c r="M56" s="21">
        <v>1E-3</v>
      </c>
      <c r="N56" s="21">
        <v>1E-3</v>
      </c>
      <c r="O56" s="21">
        <v>1E-3</v>
      </c>
      <c r="P56" s="21">
        <v>0</v>
      </c>
      <c r="Q56" s="21">
        <v>0</v>
      </c>
      <c r="R56" s="21">
        <v>0</v>
      </c>
      <c r="S56" s="21">
        <v>0</v>
      </c>
      <c r="T56" s="21">
        <v>1E-3</v>
      </c>
      <c r="U56" s="21">
        <v>0</v>
      </c>
      <c r="V56" s="21">
        <v>1E-3</v>
      </c>
      <c r="W56" s="21">
        <v>0</v>
      </c>
      <c r="X56" s="21">
        <v>0</v>
      </c>
      <c r="Y56" s="21">
        <v>1E-3</v>
      </c>
      <c r="Z56" s="21">
        <v>1E-3</v>
      </c>
      <c r="AA56" s="21">
        <v>0</v>
      </c>
      <c r="AB56" s="21">
        <v>1E-3</v>
      </c>
      <c r="AC56" s="21">
        <v>0</v>
      </c>
      <c r="AD56" s="21">
        <v>1E-3</v>
      </c>
      <c r="AE56" s="21">
        <v>0</v>
      </c>
      <c r="AF56" s="21">
        <v>0</v>
      </c>
      <c r="AG56" s="21"/>
      <c r="AH56" s="19">
        <f t="shared" si="0"/>
        <v>1.5000000000000006E-2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/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1E-3</v>
      </c>
      <c r="D58" s="21">
        <v>0</v>
      </c>
      <c r="E58" s="21">
        <v>0</v>
      </c>
      <c r="F58" s="21">
        <v>0</v>
      </c>
      <c r="G58" s="21">
        <v>1E-3</v>
      </c>
      <c r="H58" s="21">
        <v>0</v>
      </c>
      <c r="I58" s="21">
        <v>0</v>
      </c>
      <c r="J58" s="21">
        <v>1E-3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1E-3</v>
      </c>
      <c r="Q58" s="21">
        <v>1E-3</v>
      </c>
      <c r="R58" s="21">
        <v>1E-3</v>
      </c>
      <c r="S58" s="21">
        <v>1E-3</v>
      </c>
      <c r="T58" s="21">
        <v>0</v>
      </c>
      <c r="U58" s="21">
        <v>1E-3</v>
      </c>
      <c r="V58" s="21">
        <v>0</v>
      </c>
      <c r="W58" s="21">
        <v>1E-3</v>
      </c>
      <c r="X58" s="21">
        <v>1E-3</v>
      </c>
      <c r="Y58" s="21">
        <v>0</v>
      </c>
      <c r="Z58" s="21">
        <v>0</v>
      </c>
      <c r="AA58" s="21">
        <v>1E-3</v>
      </c>
      <c r="AB58" s="21">
        <v>0</v>
      </c>
      <c r="AC58" s="21">
        <v>1E-3</v>
      </c>
      <c r="AD58" s="21">
        <v>0</v>
      </c>
      <c r="AE58" s="21">
        <v>1E-3</v>
      </c>
      <c r="AF58" s="21">
        <v>0</v>
      </c>
      <c r="AG58" s="21"/>
      <c r="AH58" s="19">
        <f t="shared" si="0"/>
        <v>1.3000000000000005E-2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/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0</v>
      </c>
      <c r="D60" s="21">
        <v>1E-3</v>
      </c>
      <c r="E60" s="21">
        <v>1E-3</v>
      </c>
      <c r="F60" s="21">
        <v>1E-3</v>
      </c>
      <c r="G60" s="21">
        <v>0</v>
      </c>
      <c r="H60" s="21">
        <v>1E-3</v>
      </c>
      <c r="I60" s="21">
        <v>1E-3</v>
      </c>
      <c r="J60" s="21">
        <v>0</v>
      </c>
      <c r="K60" s="21">
        <v>1E-3</v>
      </c>
      <c r="L60" s="21">
        <v>1E-3</v>
      </c>
      <c r="M60" s="21">
        <v>1E-3</v>
      </c>
      <c r="N60" s="21">
        <v>1E-3</v>
      </c>
      <c r="O60" s="21">
        <v>1E-3</v>
      </c>
      <c r="P60" s="21">
        <v>0</v>
      </c>
      <c r="Q60" s="21">
        <v>0</v>
      </c>
      <c r="R60" s="21">
        <v>0</v>
      </c>
      <c r="S60" s="21">
        <v>0</v>
      </c>
      <c r="T60" s="21">
        <v>1E-3</v>
      </c>
      <c r="U60" s="21">
        <v>0</v>
      </c>
      <c r="V60" s="21">
        <v>0</v>
      </c>
      <c r="W60" s="21">
        <v>0</v>
      </c>
      <c r="X60" s="21">
        <v>0</v>
      </c>
      <c r="Y60" s="21">
        <v>1E-3</v>
      </c>
      <c r="Z60" s="21">
        <v>1E-3</v>
      </c>
      <c r="AA60" s="21">
        <v>0</v>
      </c>
      <c r="AB60" s="21">
        <v>1E-3</v>
      </c>
      <c r="AC60" s="21">
        <v>0</v>
      </c>
      <c r="AD60" s="21">
        <v>1E-3</v>
      </c>
      <c r="AE60" s="21">
        <v>0</v>
      </c>
      <c r="AF60" s="21">
        <v>1E-3</v>
      </c>
      <c r="AG60" s="21"/>
      <c r="AH60" s="19">
        <f t="shared" si="0"/>
        <v>1.6000000000000007E-2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/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3.6629999999999998</v>
      </c>
      <c r="D62" s="21">
        <v>3.47</v>
      </c>
      <c r="E62" s="21">
        <v>3.3570000000000002</v>
      </c>
      <c r="F62" s="21">
        <v>3.2629999999999999</v>
      </c>
      <c r="G62" s="21">
        <v>3.1230000000000002</v>
      </c>
      <c r="H62" s="21">
        <v>2.9950000000000001</v>
      </c>
      <c r="I62" s="21">
        <v>2.859</v>
      </c>
      <c r="J62" s="21">
        <v>2.7650000000000001</v>
      </c>
      <c r="K62" s="21">
        <v>2.6349999999999998</v>
      </c>
      <c r="L62" s="21">
        <v>2.556</v>
      </c>
      <c r="M62" s="21">
        <v>2.4129999999999998</v>
      </c>
      <c r="N62" s="21">
        <v>2.3130000000000002</v>
      </c>
      <c r="O62" s="21">
        <v>2.2280000000000002</v>
      </c>
      <c r="P62" s="21">
        <v>2.1320000000000001</v>
      </c>
      <c r="Q62" s="21">
        <v>2.056</v>
      </c>
      <c r="R62" s="21">
        <v>1.883</v>
      </c>
      <c r="S62" s="21">
        <v>1.661</v>
      </c>
      <c r="T62" s="21">
        <v>1.554</v>
      </c>
      <c r="U62" s="21">
        <v>1.4370000000000001</v>
      </c>
      <c r="V62" s="21">
        <v>1.333</v>
      </c>
      <c r="W62" s="21">
        <v>1.23</v>
      </c>
      <c r="X62" s="21">
        <v>1.1160000000000001</v>
      </c>
      <c r="Y62" s="21">
        <v>1.0089999999999999</v>
      </c>
      <c r="Z62" s="21">
        <v>0.88200000000000001</v>
      </c>
      <c r="AA62" s="21">
        <v>0.76900000000000002</v>
      </c>
      <c r="AB62" s="21">
        <v>0.66200000000000003</v>
      </c>
      <c r="AC62" s="21">
        <v>0.54900000000000004</v>
      </c>
      <c r="AD62" s="21">
        <v>0.44</v>
      </c>
      <c r="AE62" s="21">
        <v>0.33100000000000002</v>
      </c>
      <c r="AF62" s="21">
        <v>0.22500000000000001</v>
      </c>
      <c r="AG62" s="21"/>
      <c r="AH62" s="19">
        <f t="shared" si="0"/>
        <v>56.908999999999999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/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6.9539999999999997</v>
      </c>
      <c r="D64" s="21">
        <v>6.8849999999999998</v>
      </c>
      <c r="E64" s="21">
        <v>6.8949999999999996</v>
      </c>
      <c r="F64" s="21">
        <v>6.923</v>
      </c>
      <c r="G64" s="21">
        <v>6.891</v>
      </c>
      <c r="H64" s="21">
        <v>6.8620000000000001</v>
      </c>
      <c r="I64" s="21">
        <v>6.7709999999999999</v>
      </c>
      <c r="J64" s="21">
        <v>6.806</v>
      </c>
      <c r="K64" s="21">
        <v>6.7110000000000003</v>
      </c>
      <c r="L64" s="21">
        <v>6.8479999999999999</v>
      </c>
      <c r="M64" s="21">
        <v>6.7519999999999998</v>
      </c>
      <c r="N64" s="21">
        <v>6.8029999999999999</v>
      </c>
      <c r="O64" s="21">
        <v>6.8949999999999996</v>
      </c>
      <c r="P64" s="21">
        <v>6.8390000000000004</v>
      </c>
      <c r="Q64" s="21">
        <v>6.9009999999999998</v>
      </c>
      <c r="R64" s="21">
        <v>6.7789999999999999</v>
      </c>
      <c r="S64" s="21">
        <v>6.8019999999999996</v>
      </c>
      <c r="T64" s="21">
        <v>6.7939999999999996</v>
      </c>
      <c r="U64" s="21">
        <v>6.8630000000000004</v>
      </c>
      <c r="V64" s="21">
        <v>6.835</v>
      </c>
      <c r="W64" s="21">
        <v>6.8280000000000003</v>
      </c>
      <c r="X64" s="21">
        <v>6.73</v>
      </c>
      <c r="Y64" s="21">
        <v>6.9409999999999998</v>
      </c>
      <c r="Z64" s="21">
        <v>6.7430000000000003</v>
      </c>
      <c r="AA64" s="21">
        <v>6.7190000000000003</v>
      </c>
      <c r="AB64" s="21">
        <v>6.7880000000000003</v>
      </c>
      <c r="AC64" s="21">
        <v>6.6959999999999997</v>
      </c>
      <c r="AD64" s="21">
        <v>6.65</v>
      </c>
      <c r="AE64" s="21">
        <v>6.6630000000000003</v>
      </c>
      <c r="AF64" s="21">
        <v>6.5510000000000002</v>
      </c>
      <c r="AG64" s="21"/>
      <c r="AH64" s="19">
        <f t="shared" si="0"/>
        <v>204.11799999999999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/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7.0039999999999996</v>
      </c>
      <c r="D66" s="21">
        <v>6.9610000000000003</v>
      </c>
      <c r="E66" s="21">
        <v>7.0069999999999997</v>
      </c>
      <c r="F66" s="21">
        <v>7.0090000000000003</v>
      </c>
      <c r="G66" s="21">
        <v>7.0039999999999996</v>
      </c>
      <c r="H66" s="21">
        <v>6.9729999999999999</v>
      </c>
      <c r="I66" s="21">
        <v>6.944</v>
      </c>
      <c r="J66" s="21">
        <v>6.8959999999999999</v>
      </c>
      <c r="K66" s="21">
        <v>6.8129999999999997</v>
      </c>
      <c r="L66" s="21">
        <v>6.9130000000000003</v>
      </c>
      <c r="M66" s="21">
        <v>6.8529999999999998</v>
      </c>
      <c r="N66" s="21">
        <v>6.8970000000000002</v>
      </c>
      <c r="O66" s="21">
        <v>6.9509999999999996</v>
      </c>
      <c r="P66" s="21">
        <v>6.9210000000000003</v>
      </c>
      <c r="Q66" s="21">
        <v>6.9409999999999998</v>
      </c>
      <c r="R66" s="21">
        <v>6.8289999999999997</v>
      </c>
      <c r="S66" s="21">
        <v>6.8920000000000003</v>
      </c>
      <c r="T66" s="21">
        <v>6.8540000000000001</v>
      </c>
      <c r="U66" s="21">
        <v>6.9480000000000004</v>
      </c>
      <c r="V66" s="21">
        <v>6.891</v>
      </c>
      <c r="W66" s="21">
        <v>6.907</v>
      </c>
      <c r="X66" s="21">
        <v>6.7690000000000001</v>
      </c>
      <c r="Y66" s="21">
        <v>6.9820000000000002</v>
      </c>
      <c r="Z66" s="21">
        <v>6.7990000000000004</v>
      </c>
      <c r="AA66" s="21">
        <v>6.81</v>
      </c>
      <c r="AB66" s="21">
        <v>6.867</v>
      </c>
      <c r="AC66" s="21">
        <v>6.7750000000000004</v>
      </c>
      <c r="AD66" s="21">
        <v>6.7530000000000001</v>
      </c>
      <c r="AE66" s="21">
        <v>6.7439999999999998</v>
      </c>
      <c r="AF66" s="21">
        <v>6.6829999999999998</v>
      </c>
      <c r="AG66" s="21"/>
      <c r="AH66" s="19">
        <f t="shared" si="0"/>
        <v>206.59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/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7.0990000000000002</v>
      </c>
      <c r="D68" s="21">
        <v>6.9089999999999998</v>
      </c>
      <c r="E68" s="21">
        <v>7.07</v>
      </c>
      <c r="F68" s="21">
        <v>7.0860000000000003</v>
      </c>
      <c r="G68" s="21">
        <v>7.1369999999999996</v>
      </c>
      <c r="H68" s="21">
        <v>7.0140000000000002</v>
      </c>
      <c r="I68" s="21">
        <v>6.907</v>
      </c>
      <c r="J68" s="21">
        <v>7.016</v>
      </c>
      <c r="K68" s="21">
        <v>6.9889999999999999</v>
      </c>
      <c r="L68" s="21">
        <v>6.9640000000000004</v>
      </c>
      <c r="M68" s="21">
        <v>6.8940000000000001</v>
      </c>
      <c r="N68" s="21">
        <v>6.9779999999999998</v>
      </c>
      <c r="O68" s="21">
        <v>7.0570000000000004</v>
      </c>
      <c r="P68" s="21">
        <v>7.0229999999999997</v>
      </c>
      <c r="Q68" s="21">
        <v>7.0579999999999998</v>
      </c>
      <c r="R68" s="21">
        <v>6.9029999999999996</v>
      </c>
      <c r="S68" s="21">
        <v>6.9720000000000004</v>
      </c>
      <c r="T68" s="21">
        <v>6.9349999999999996</v>
      </c>
      <c r="U68" s="21">
        <v>7.0439999999999996</v>
      </c>
      <c r="V68" s="21">
        <v>7.0039999999999996</v>
      </c>
      <c r="W68" s="21">
        <v>6.9660000000000002</v>
      </c>
      <c r="X68" s="21">
        <v>6.8390000000000004</v>
      </c>
      <c r="Y68" s="21">
        <v>7.024</v>
      </c>
      <c r="Z68" s="21">
        <v>6.9089999999999998</v>
      </c>
      <c r="AA68" s="21">
        <v>6.91</v>
      </c>
      <c r="AB68" s="21">
        <v>6.9119999999999999</v>
      </c>
      <c r="AC68" s="21">
        <v>6.8289999999999997</v>
      </c>
      <c r="AD68" s="21">
        <v>6.89</v>
      </c>
      <c r="AE68" s="21">
        <v>6.907</v>
      </c>
      <c r="AF68" s="21">
        <v>6.8289999999999997</v>
      </c>
      <c r="AG68" s="21"/>
      <c r="AH68" s="19">
        <f t="shared" si="0"/>
        <v>209.07400000000001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/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7.1020000000000003</v>
      </c>
      <c r="D70" s="21">
        <v>6.9859999999999998</v>
      </c>
      <c r="E70" s="21">
        <v>7.0679999999999996</v>
      </c>
      <c r="F70" s="21">
        <v>7.1159999999999997</v>
      </c>
      <c r="G70" s="21">
        <v>7.1559999999999997</v>
      </c>
      <c r="H70" s="21">
        <v>7.1230000000000002</v>
      </c>
      <c r="I70" s="21">
        <v>7.0469999999999997</v>
      </c>
      <c r="J70" s="21">
        <v>7.0759999999999996</v>
      </c>
      <c r="K70" s="21">
        <v>7.0880000000000001</v>
      </c>
      <c r="L70" s="21">
        <v>6.9889999999999999</v>
      </c>
      <c r="M70" s="21">
        <v>6.9020000000000001</v>
      </c>
      <c r="N70" s="21">
        <v>7.0049999999999999</v>
      </c>
      <c r="O70" s="21">
        <v>7.1260000000000003</v>
      </c>
      <c r="P70" s="21">
        <v>7.0209999999999999</v>
      </c>
      <c r="Q70" s="21">
        <v>7.1260000000000003</v>
      </c>
      <c r="R70" s="21">
        <v>6.9320000000000004</v>
      </c>
      <c r="S70" s="21">
        <v>7.0330000000000004</v>
      </c>
      <c r="T70" s="21">
        <v>6.9169999999999998</v>
      </c>
      <c r="U70" s="21">
        <v>7.0830000000000002</v>
      </c>
      <c r="V70" s="21">
        <v>7.09</v>
      </c>
      <c r="W70" s="21">
        <v>6.9569999999999999</v>
      </c>
      <c r="X70" s="21">
        <v>6.8970000000000002</v>
      </c>
      <c r="Y70" s="21">
        <v>7.11</v>
      </c>
      <c r="Z70" s="21">
        <v>6.9870000000000001</v>
      </c>
      <c r="AA70" s="21">
        <v>6.9619999999999997</v>
      </c>
      <c r="AB70" s="21">
        <v>6.9710000000000001</v>
      </c>
      <c r="AC70" s="21">
        <v>6.9169999999999998</v>
      </c>
      <c r="AD70" s="21">
        <v>6.9770000000000003</v>
      </c>
      <c r="AE70" s="21">
        <v>6.8869999999999996</v>
      </c>
      <c r="AF70" s="21">
        <v>6.88</v>
      </c>
      <c r="AG70" s="21"/>
      <c r="AH70" s="19">
        <f t="shared" si="0"/>
        <v>210.53100000000001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82.379999999999981</v>
      </c>
      <c r="D72" s="19">
        <f t="shared" ref="D72:AG72" si="2">SUM(D24,D26,D28,D30,D32,D34,D36,D38,D40,D42,D44,D46,D48,D50,D52,D54,D56,D58,D60,D62,D64,D66,D68,D70)</f>
        <v>80.128</v>
      </c>
      <c r="E72" s="19">
        <f t="shared" si="2"/>
        <v>79.866999999999976</v>
      </c>
      <c r="F72" s="19">
        <f t="shared" si="2"/>
        <v>79.514999999999986</v>
      </c>
      <c r="G72" s="19">
        <f t="shared" si="2"/>
        <v>79.921999999999983</v>
      </c>
      <c r="H72" s="19">
        <f t="shared" si="2"/>
        <v>79.447999999999979</v>
      </c>
      <c r="I72" s="19">
        <f t="shared" si="2"/>
        <v>78.74799999999999</v>
      </c>
      <c r="J72" s="19">
        <f t="shared" si="2"/>
        <v>77.546999999999997</v>
      </c>
      <c r="K72" s="19">
        <f t="shared" si="2"/>
        <v>77.285999999999973</v>
      </c>
      <c r="L72" s="19">
        <f t="shared" si="2"/>
        <v>77.420999999999992</v>
      </c>
      <c r="M72" s="19">
        <f t="shared" si="2"/>
        <v>76.505999999999986</v>
      </c>
      <c r="N72" s="19">
        <f t="shared" si="2"/>
        <v>75.956999999999979</v>
      </c>
      <c r="O72" s="19">
        <f t="shared" si="2"/>
        <v>76.682999999999993</v>
      </c>
      <c r="P72" s="19">
        <f t="shared" si="2"/>
        <v>76.811999999999983</v>
      </c>
      <c r="Q72" s="19">
        <f t="shared" si="2"/>
        <v>76.36699999999999</v>
      </c>
      <c r="R72" s="19">
        <f t="shared" si="2"/>
        <v>75.475999999999985</v>
      </c>
      <c r="S72" s="19">
        <f t="shared" si="2"/>
        <v>74.47699999999999</v>
      </c>
      <c r="T72" s="19">
        <f t="shared" si="2"/>
        <v>74.168999999999983</v>
      </c>
      <c r="U72" s="19">
        <f t="shared" si="2"/>
        <v>74.531999999999982</v>
      </c>
      <c r="V72" s="19">
        <f t="shared" si="2"/>
        <v>74.450999999999993</v>
      </c>
      <c r="W72" s="19">
        <f t="shared" si="2"/>
        <v>74.055999999999969</v>
      </c>
      <c r="X72" s="19">
        <f t="shared" si="2"/>
        <v>72.588999999999999</v>
      </c>
      <c r="Y72" s="19">
        <f t="shared" si="2"/>
        <v>71.941999999999979</v>
      </c>
      <c r="Z72" s="19">
        <f t="shared" si="2"/>
        <v>72.722999999999985</v>
      </c>
      <c r="AA72" s="19">
        <f t="shared" si="2"/>
        <v>71.807999999999993</v>
      </c>
      <c r="AB72" s="19">
        <f t="shared" si="2"/>
        <v>71.900999999999982</v>
      </c>
      <c r="AC72" s="19">
        <f t="shared" si="2"/>
        <v>70.644999999999982</v>
      </c>
      <c r="AD72" s="19">
        <f t="shared" si="2"/>
        <v>70.819999999999993</v>
      </c>
      <c r="AE72" s="19">
        <f t="shared" si="2"/>
        <v>70.404999999999987</v>
      </c>
      <c r="AF72" s="19">
        <f t="shared" si="2"/>
        <v>70.032999999999987</v>
      </c>
      <c r="AG72" s="19">
        <f t="shared" si="2"/>
        <v>0</v>
      </c>
      <c r="AH72" s="19">
        <f>SUM(C72:AG72)</f>
        <v>2264.6139999999996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237474.486</v>
      </c>
      <c r="X75" s="43"/>
      <c r="Y75" s="43"/>
      <c r="Z75" s="43"/>
      <c r="AA75" s="43">
        <v>227253.21900000001</v>
      </c>
      <c r="AB75" s="43"/>
      <c r="AC75" s="43">
        <v>207.63300000000001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239739.1</v>
      </c>
      <c r="X76" s="43"/>
      <c r="Y76" s="43"/>
      <c r="Z76" s="43"/>
      <c r="AA76" s="43">
        <v>229800.18100000001</v>
      </c>
      <c r="AB76" s="43"/>
      <c r="AC76" s="43">
        <v>209.85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7.5640000000000001</v>
      </c>
      <c r="S77" s="43"/>
      <c r="U77" s="49" t="s">
        <v>48</v>
      </c>
      <c r="V77" s="51"/>
      <c r="W77" s="43">
        <v>2264.614</v>
      </c>
      <c r="X77" s="43"/>
      <c r="Y77" s="43">
        <v>0</v>
      </c>
      <c r="Z77" s="43"/>
      <c r="AA77" s="43">
        <v>2546.962</v>
      </c>
      <c r="AB77" s="43"/>
      <c r="AC77" s="43">
        <v>2.2170000000000001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2264.6139999999996</v>
      </c>
      <c r="X78" s="43"/>
      <c r="Y78" s="43">
        <f>AH71</f>
        <v>0</v>
      </c>
      <c r="Z78" s="43"/>
      <c r="AA78" s="43">
        <v>2546.962</v>
      </c>
      <c r="AB78" s="43"/>
      <c r="AC78" s="43">
        <v>2.2170000000000001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0</v>
      </c>
      <c r="X79" s="43"/>
      <c r="Y79" s="43">
        <f>Y77-Y78</f>
        <v>0</v>
      </c>
      <c r="Z79" s="43"/>
      <c r="AA79" s="43">
        <v>0</v>
      </c>
      <c r="AB79" s="43"/>
      <c r="AC79" s="43">
        <v>0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0</v>
      </c>
      <c r="X80" s="52"/>
      <c r="Y80" s="52">
        <f>IF(Y77&gt;0,Y79/Y77,0)</f>
        <v>0</v>
      </c>
      <c r="Z80" s="52"/>
      <c r="AA80" s="48">
        <v>0</v>
      </c>
      <c r="AB80" s="48"/>
      <c r="AC80" s="48">
        <v>0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2026-02-13T11:21:30Z</dcterms:modified>
</cp:coreProperties>
</file>