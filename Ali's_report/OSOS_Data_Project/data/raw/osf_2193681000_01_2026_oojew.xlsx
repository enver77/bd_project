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8C542B42-2FBA-4D74-BD92-5B98B244C990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<sst xmlns="http://schemas.openxmlformats.org/spreadsheetml/2006/main" count="144" uniqueCount="82">
  <si>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</si>
  <si>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</si>
  <si>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</si>
  <si>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</si>
  <si>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</si>
  <si>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</si>
  <si>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</si>
  <si>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</si>
  <si>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</si>
  <si>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</si>
  <si>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</si>
  <si>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</si>
  <si>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</si>
  <si>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</si>
  <si>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</si>
  <si>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</si>
  <si>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</si>
  <si>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</si>
  <si>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</si>
  <si>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</si>
  <si>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</si>
  <si>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</si>
  <si>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</si>
  <si>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</si>
  <si>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</si>
  <si>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</si>
  <si>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</si>
  <si>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</si>
  <si>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</si>
  <si>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</si>
  <si>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</si>
  <si>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</si>
  <si>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</si>
  <si>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</si>
  <si>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</si>
  <si>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</si>
  <si>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</si>
  <si>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</si>
  <si>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</si>
  <si>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</si>
  <si>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</si>
  <si>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</si>
  <si>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</si>
  <si>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</si>
  <si>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</si>
  <si>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</si>
  <si>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</si>
  <si>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</si>
  <si>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</si>
  <si>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</si>
  <si>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</si>
  <si>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</si>
  <si>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</si>
  <si>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</si>
  <si>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</si>
  <si>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</si>
  <si>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</si>
  <si>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</si>
  <si>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</si>
  <si>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</si>
  <si>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</si>
  <si>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</si>
  <si>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</si>
  <si>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</si>
  <si>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</si>
  <si>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</si>
  <si>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</si>
  <si>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</si>
  <si>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</si>
  <si>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</si>
  <si>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</si>
  <si>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</si>
  <si>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</si>
  <si>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</si>
  <si>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</si>
  <si>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</si>
  <si>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</si>
  <si>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</si>
  <si>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</si>
  <si>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01/2026</t>
  </si>
  <si>
    <t>Cadde-Sokak</t>
  </si>
  <si>
    <t>25/01/2026 07:43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</si>
</sst>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2.5910000000000002</v>
      </c>
      <c r="D24" s="21">
        <v>5.0570000000000004</v>
      </c>
      <c r="E24" s="21">
        <v>4.923</v>
      </c>
      <c r="F24" s="21">
        <v>4.9610000000000003</v>
      </c>
      <c r="G24" s="21">
        <v>4.9589999999999996</v>
      </c>
      <c r="H24" s="21">
        <v>4.984</v>
      </c>
      <c r="I24" s="21">
        <v>4.984</v>
      </c>
      <c r="J24" s="21">
        <v>7.0030000000000001</v>
      </c>
      <c r="K24" s="21">
        <v>7.016</v>
      </c>
      <c r="L24" s="21">
        <v>6.9329999999999998</v>
      </c>
      <c r="M24" s="21">
        <v>6.9530000000000003</v>
      </c>
      <c r="N24" s="21">
        <v>6.5970000000000004</v>
      </c>
      <c r="O24" s="21">
        <v>6.8849999999999998</v>
      </c>
      <c r="P24" s="21">
        <v>6.7560000000000002</v>
      </c>
      <c r="Q24" s="21">
        <v>6.9240000000000004</v>
      </c>
      <c r="R24" s="21">
        <v>6.9370000000000003</v>
      </c>
      <c r="S24" s="21">
        <v>6.8440000000000003</v>
      </c>
      <c r="T24" s="21">
        <v>6.8380000000000001</v>
      </c>
      <c r="U24" s="21">
        <v>6.0339999999999998</v>
      </c>
      <c r="V24" s="21">
        <v>6.0019999999999998</v>
      </c>
      <c r="W24" s="21">
        <v>4.673</v>
      </c>
      <c r="X24" s="21">
        <v>4.7229999999999999</v>
      </c>
      <c r="Y24" s="21">
        <v>5.3259999999999996</v>
      </c>
      <c r="Z24" s="21">
        <v>7.1820000000000004</v>
      </c>
      <c r="AA24" s="21">
        <v>7.27</v>
      </c>
      <c r="AB24" s="21">
        <v>7.2190000000000003</v>
      </c>
      <c r="AC24" s="21">
        <v>6.7869999999999999</v>
      </c>
      <c r="AD24" s="21">
        <v>7.1890000000000001</v>
      </c>
      <c r="AE24" s="21">
        <v>7.3209999999999997</v>
      </c>
      <c r="AF24" s="21">
        <v>7.2610000000000001</v>
      </c>
      <c r="AG24" s="21">
        <v>7.194</v>
      </c>
      <c r="AH24" s="19">
        <f t="shared" ref="AH24:AH70" si="0">SUM(C24:AG24)</f>
        <v>192.32599999999996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2.5910000000000002</v>
      </c>
      <c r="D26" s="21">
        <v>5.0890000000000004</v>
      </c>
      <c r="E26" s="21">
        <v>5.0259999999999998</v>
      </c>
      <c r="F26" s="21">
        <v>4.9909999999999997</v>
      </c>
      <c r="G26" s="21">
        <v>4.9320000000000004</v>
      </c>
      <c r="H26" s="21">
        <v>5.008</v>
      </c>
      <c r="I26" s="21">
        <v>5.0350000000000001</v>
      </c>
      <c r="J26" s="21">
        <v>7.09</v>
      </c>
      <c r="K26" s="21">
        <v>7.101</v>
      </c>
      <c r="L26" s="21">
        <v>7.0250000000000004</v>
      </c>
      <c r="M26" s="21">
        <v>6.9930000000000003</v>
      </c>
      <c r="N26" s="21">
        <v>6.7240000000000002</v>
      </c>
      <c r="O26" s="21">
        <v>6.95</v>
      </c>
      <c r="P26" s="21">
        <v>6.8949999999999996</v>
      </c>
      <c r="Q26" s="21">
        <v>6.97</v>
      </c>
      <c r="R26" s="21">
        <v>7.0209999999999999</v>
      </c>
      <c r="S26" s="21">
        <v>6.9240000000000004</v>
      </c>
      <c r="T26" s="21">
        <v>6.9139999999999997</v>
      </c>
      <c r="U26" s="21">
        <v>6.1079999999999997</v>
      </c>
      <c r="V26" s="21">
        <v>5.4640000000000004</v>
      </c>
      <c r="W26" s="21">
        <v>4.7489999999999997</v>
      </c>
      <c r="X26" s="21">
        <v>4.7910000000000004</v>
      </c>
      <c r="Y26" s="21">
        <v>5.3049999999999997</v>
      </c>
      <c r="Z26" s="21">
        <v>7.2549999999999999</v>
      </c>
      <c r="AA26" s="21">
        <v>7.3780000000000001</v>
      </c>
      <c r="AB26" s="21">
        <v>7.26</v>
      </c>
      <c r="AC26" s="21">
        <v>6.8380000000000001</v>
      </c>
      <c r="AD26" s="21">
        <v>7.2649999999999997</v>
      </c>
      <c r="AE26" s="21">
        <v>7.3970000000000002</v>
      </c>
      <c r="AF26" s="21">
        <v>7.1970000000000001</v>
      </c>
      <c r="AG26" s="21">
        <v>7.335</v>
      </c>
      <c r="AH26" s="19">
        <f t="shared" si="0"/>
        <v>193.62099999999998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2.6240000000000001</v>
      </c>
      <c r="D28" s="21">
        <v>5.05</v>
      </c>
      <c r="E28" s="21">
        <v>5.0590000000000002</v>
      </c>
      <c r="F28" s="21">
        <v>5.032</v>
      </c>
      <c r="G28" s="21">
        <v>4.9770000000000003</v>
      </c>
      <c r="H28" s="21">
        <v>5.0279999999999996</v>
      </c>
      <c r="I28" s="21">
        <v>5.0830000000000002</v>
      </c>
      <c r="J28" s="21">
        <v>7.069</v>
      </c>
      <c r="K28" s="21">
        <v>7.1130000000000004</v>
      </c>
      <c r="L28" s="21">
        <v>7.0940000000000003</v>
      </c>
      <c r="M28" s="21">
        <v>7.0670000000000002</v>
      </c>
      <c r="N28" s="21">
        <v>6.8129999999999997</v>
      </c>
      <c r="O28" s="21">
        <v>7.0069999999999997</v>
      </c>
      <c r="P28" s="21">
        <v>6.9770000000000003</v>
      </c>
      <c r="Q28" s="21">
        <v>6.7869999999999999</v>
      </c>
      <c r="R28" s="21">
        <v>6.9390000000000001</v>
      </c>
      <c r="S28" s="21">
        <v>6.6749999999999998</v>
      </c>
      <c r="T28" s="21">
        <v>6.9509999999999996</v>
      </c>
      <c r="U28" s="21">
        <v>6.1289999999999996</v>
      </c>
      <c r="V28" s="21">
        <v>4.992</v>
      </c>
      <c r="W28" s="21">
        <v>4.8</v>
      </c>
      <c r="X28" s="21">
        <v>4.8550000000000004</v>
      </c>
      <c r="Y28" s="21">
        <v>5.343</v>
      </c>
      <c r="Z28" s="21">
        <v>7.35</v>
      </c>
      <c r="AA28" s="21">
        <v>7.3849999999999998</v>
      </c>
      <c r="AB28" s="21">
        <v>7.3230000000000004</v>
      </c>
      <c r="AC28" s="21">
        <v>6.8819999999999997</v>
      </c>
      <c r="AD28" s="21">
        <v>7.4139999999999997</v>
      </c>
      <c r="AE28" s="21">
        <v>7.431</v>
      </c>
      <c r="AF28" s="21">
        <v>7.1689999999999996</v>
      </c>
      <c r="AG28" s="21">
        <v>7.4240000000000004</v>
      </c>
      <c r="AH28" s="19">
        <f t="shared" si="0"/>
        <v>193.84200000000001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2.6379999999999999</v>
      </c>
      <c r="D30" s="21">
        <v>5.09</v>
      </c>
      <c r="E30" s="21">
        <v>5.0579999999999998</v>
      </c>
      <c r="F30" s="21">
        <v>5.0449999999999999</v>
      </c>
      <c r="G30" s="21">
        <v>5.0199999999999996</v>
      </c>
      <c r="H30" s="21">
        <v>5.0810000000000004</v>
      </c>
      <c r="I30" s="21">
        <v>5.0999999999999996</v>
      </c>
      <c r="J30" s="21">
        <v>7.0830000000000002</v>
      </c>
      <c r="K30" s="21">
        <v>7.1289999999999996</v>
      </c>
      <c r="L30" s="21">
        <v>7.1520000000000001</v>
      </c>
      <c r="M30" s="21">
        <v>7.1239999999999997</v>
      </c>
      <c r="N30" s="21">
        <v>6.7439999999999998</v>
      </c>
      <c r="O30" s="21">
        <v>7.0510000000000002</v>
      </c>
      <c r="P30" s="21">
        <v>6.9109999999999996</v>
      </c>
      <c r="Q30" s="21">
        <v>6.82</v>
      </c>
      <c r="R30" s="21">
        <v>6.7789999999999999</v>
      </c>
      <c r="S30" s="21">
        <v>6.6680000000000001</v>
      </c>
      <c r="T30" s="21">
        <v>7.0030000000000001</v>
      </c>
      <c r="U30" s="21">
        <v>6.0730000000000004</v>
      </c>
      <c r="V30" s="21">
        <v>4.9880000000000004</v>
      </c>
      <c r="W30" s="21">
        <v>4.8470000000000004</v>
      </c>
      <c r="X30" s="21">
        <v>4.8940000000000001</v>
      </c>
      <c r="Y30" s="21">
        <v>5.4089999999999998</v>
      </c>
      <c r="Z30" s="21">
        <v>7.35</v>
      </c>
      <c r="AA30" s="21">
        <v>7.4189999999999996</v>
      </c>
      <c r="AB30" s="21">
        <v>7.4009999999999998</v>
      </c>
      <c r="AC30" s="21">
        <v>6.9059999999999997</v>
      </c>
      <c r="AD30" s="21">
        <v>7.4489999999999998</v>
      </c>
      <c r="AE30" s="21">
        <v>7.4130000000000003</v>
      </c>
      <c r="AF30" s="21">
        <v>7.242</v>
      </c>
      <c r="AG30" s="21">
        <v>7.4420000000000002</v>
      </c>
      <c r="AH30" s="19">
        <f t="shared" si="0"/>
        <v>194.32900000000001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2.6440000000000001</v>
      </c>
      <c r="D32" s="21">
        <v>5.101</v>
      </c>
      <c r="E32" s="21">
        <v>5.0540000000000003</v>
      </c>
      <c r="F32" s="21">
        <v>4.9909999999999997</v>
      </c>
      <c r="G32" s="21">
        <v>5.0259999999999998</v>
      </c>
      <c r="H32" s="21">
        <v>5.1280000000000001</v>
      </c>
      <c r="I32" s="21">
        <v>5.1139999999999999</v>
      </c>
      <c r="J32" s="21">
        <v>7.1210000000000004</v>
      </c>
      <c r="K32" s="21">
        <v>7.1379999999999999</v>
      </c>
      <c r="L32" s="21">
        <v>7.16</v>
      </c>
      <c r="M32" s="21">
        <v>7.1660000000000004</v>
      </c>
      <c r="N32" s="21">
        <v>6.7590000000000003</v>
      </c>
      <c r="O32" s="21">
        <v>6.7329999999999997</v>
      </c>
      <c r="P32" s="21">
        <v>7.0350000000000001</v>
      </c>
      <c r="Q32" s="21">
        <v>6.8520000000000003</v>
      </c>
      <c r="R32" s="21">
        <v>6.8070000000000004</v>
      </c>
      <c r="S32" s="21">
        <v>6.7370000000000001</v>
      </c>
      <c r="T32" s="21">
        <v>6.827</v>
      </c>
      <c r="U32" s="21">
        <v>6.0789999999999997</v>
      </c>
      <c r="V32" s="21">
        <v>5.024</v>
      </c>
      <c r="W32" s="21">
        <v>4.8739999999999997</v>
      </c>
      <c r="X32" s="21">
        <v>5.0439999999999996</v>
      </c>
      <c r="Y32" s="21">
        <v>5.4109999999999996</v>
      </c>
      <c r="Z32" s="21">
        <v>7.3920000000000003</v>
      </c>
      <c r="AA32" s="21">
        <v>7.4589999999999996</v>
      </c>
      <c r="AB32" s="21">
        <v>7.4089999999999998</v>
      </c>
      <c r="AC32" s="21">
        <v>6.9749999999999996</v>
      </c>
      <c r="AD32" s="21">
        <v>7.4589999999999996</v>
      </c>
      <c r="AE32" s="21">
        <v>7.4109999999999996</v>
      </c>
      <c r="AF32" s="21">
        <v>7.26</v>
      </c>
      <c r="AG32" s="21">
        <v>7.4770000000000003</v>
      </c>
      <c r="AH32" s="19">
        <f t="shared" si="0"/>
        <v>194.66699999999997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2.6360000000000001</v>
      </c>
      <c r="D34" s="21">
        <v>5.056</v>
      </c>
      <c r="E34" s="21">
        <v>5.0330000000000004</v>
      </c>
      <c r="F34" s="21">
        <v>5.008</v>
      </c>
      <c r="G34" s="21">
        <v>5.0149999999999997</v>
      </c>
      <c r="H34" s="21">
        <v>5.1120000000000001</v>
      </c>
      <c r="I34" s="21">
        <v>5.0839999999999996</v>
      </c>
      <c r="J34" s="21">
        <v>7.0650000000000004</v>
      </c>
      <c r="K34" s="21">
        <v>7.1109999999999998</v>
      </c>
      <c r="L34" s="21">
        <v>7.1079999999999997</v>
      </c>
      <c r="M34" s="21">
        <v>6.7679999999999998</v>
      </c>
      <c r="N34" s="21">
        <v>6.7539999999999996</v>
      </c>
      <c r="O34" s="21">
        <v>6.6180000000000003</v>
      </c>
      <c r="P34" s="21">
        <v>7.0140000000000002</v>
      </c>
      <c r="Q34" s="21">
        <v>6.819</v>
      </c>
      <c r="R34" s="21">
        <v>6.7830000000000004</v>
      </c>
      <c r="S34" s="21">
        <v>6.7039999999999997</v>
      </c>
      <c r="T34" s="21">
        <v>6.63</v>
      </c>
      <c r="U34" s="21">
        <v>6.0519999999999996</v>
      </c>
      <c r="V34" s="21">
        <v>4.9980000000000002</v>
      </c>
      <c r="W34" s="21">
        <v>4.8440000000000003</v>
      </c>
      <c r="X34" s="21">
        <v>5.0129999999999999</v>
      </c>
      <c r="Y34" s="21">
        <v>5.3730000000000002</v>
      </c>
      <c r="Z34" s="21">
        <v>7.3819999999999997</v>
      </c>
      <c r="AA34" s="21">
        <v>7.45</v>
      </c>
      <c r="AB34" s="21">
        <v>7.36</v>
      </c>
      <c r="AC34" s="21">
        <v>6.9260000000000002</v>
      </c>
      <c r="AD34" s="21">
        <v>7.4269999999999996</v>
      </c>
      <c r="AE34" s="21">
        <v>7.3890000000000002</v>
      </c>
      <c r="AF34" s="21">
        <v>7.2229999999999999</v>
      </c>
      <c r="AG34" s="21">
        <v>7.4690000000000003</v>
      </c>
      <c r="AH34" s="19">
        <f t="shared" si="0"/>
        <v>193.22399999999996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2.633</v>
      </c>
      <c r="D36" s="21">
        <v>5.0179999999999998</v>
      </c>
      <c r="E36" s="21">
        <v>5.008</v>
      </c>
      <c r="F36" s="21">
        <v>5.0110000000000001</v>
      </c>
      <c r="G36" s="21">
        <v>4.9749999999999996</v>
      </c>
      <c r="H36" s="21">
        <v>5.0640000000000001</v>
      </c>
      <c r="I36" s="21">
        <v>5.0259999999999998</v>
      </c>
      <c r="J36" s="21">
        <v>7.0220000000000002</v>
      </c>
      <c r="K36" s="21">
        <v>7.0469999999999997</v>
      </c>
      <c r="L36" s="21">
        <v>7.1</v>
      </c>
      <c r="M36" s="21">
        <v>6.6909999999999998</v>
      </c>
      <c r="N36" s="21">
        <v>6.7160000000000002</v>
      </c>
      <c r="O36" s="21">
        <v>6.5350000000000001</v>
      </c>
      <c r="P36" s="21">
        <v>6.9630000000000001</v>
      </c>
      <c r="Q36" s="21">
        <v>6.7779999999999996</v>
      </c>
      <c r="R36" s="21">
        <v>6.734</v>
      </c>
      <c r="S36" s="21">
        <v>6.6820000000000004</v>
      </c>
      <c r="T36" s="21">
        <v>6.6539999999999999</v>
      </c>
      <c r="U36" s="21">
        <v>5.9889999999999999</v>
      </c>
      <c r="V36" s="21">
        <v>4.9749999999999996</v>
      </c>
      <c r="W36" s="21">
        <v>4.806</v>
      </c>
      <c r="X36" s="21">
        <v>4.8170000000000002</v>
      </c>
      <c r="Y36" s="21">
        <v>5.3029999999999999</v>
      </c>
      <c r="Z36" s="21">
        <v>7.383</v>
      </c>
      <c r="AA36" s="21">
        <v>7.5010000000000003</v>
      </c>
      <c r="AB36" s="21">
        <v>7.2889999999999997</v>
      </c>
      <c r="AC36" s="21">
        <v>6.8730000000000002</v>
      </c>
      <c r="AD36" s="21">
        <v>7.3959999999999999</v>
      </c>
      <c r="AE36" s="21">
        <v>7.3230000000000004</v>
      </c>
      <c r="AF36" s="21">
        <v>7.1390000000000002</v>
      </c>
      <c r="AG36" s="21">
        <v>7.46</v>
      </c>
      <c r="AH36" s="19">
        <f t="shared" si="0"/>
        <v>191.91099999999997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2.6309999999999998</v>
      </c>
      <c r="D38" s="21">
        <v>5.0149999999999997</v>
      </c>
      <c r="E38" s="21">
        <v>5.0090000000000003</v>
      </c>
      <c r="F38" s="21">
        <v>5.0410000000000004</v>
      </c>
      <c r="G38" s="21">
        <v>4.9640000000000004</v>
      </c>
      <c r="H38" s="21">
        <v>5.048</v>
      </c>
      <c r="I38" s="21">
        <v>5.0380000000000003</v>
      </c>
      <c r="J38" s="21">
        <v>6.9870000000000001</v>
      </c>
      <c r="K38" s="21">
        <v>7.0250000000000004</v>
      </c>
      <c r="L38" s="21">
        <v>7.0970000000000004</v>
      </c>
      <c r="M38" s="21">
        <v>6.6950000000000003</v>
      </c>
      <c r="N38" s="21">
        <v>6.673</v>
      </c>
      <c r="O38" s="21">
        <v>6.4429999999999996</v>
      </c>
      <c r="P38" s="21">
        <v>6.8609999999999998</v>
      </c>
      <c r="Q38" s="21">
        <v>6.7270000000000003</v>
      </c>
      <c r="R38" s="21">
        <v>6.6740000000000004</v>
      </c>
      <c r="S38" s="21">
        <v>6.7050000000000001</v>
      </c>
      <c r="T38" s="21">
        <v>6.6470000000000002</v>
      </c>
      <c r="U38" s="21">
        <v>5.9720000000000004</v>
      </c>
      <c r="V38" s="21">
        <v>4.9710000000000001</v>
      </c>
      <c r="W38" s="21">
        <v>4.6980000000000004</v>
      </c>
      <c r="X38" s="21">
        <v>4.734</v>
      </c>
      <c r="Y38" s="21">
        <v>5.1369999999999996</v>
      </c>
      <c r="Z38" s="21">
        <v>6.9589999999999996</v>
      </c>
      <c r="AA38" s="21">
        <v>7.1529999999999996</v>
      </c>
      <c r="AB38" s="21">
        <v>6.7690000000000001</v>
      </c>
      <c r="AC38" s="21">
        <v>6.2560000000000002</v>
      </c>
      <c r="AD38" s="21">
        <v>6.58</v>
      </c>
      <c r="AE38" s="21">
        <v>6.3760000000000003</v>
      </c>
      <c r="AF38" s="21">
        <v>6.2069999999999999</v>
      </c>
      <c r="AG38" s="21">
        <v>6.3460000000000001</v>
      </c>
      <c r="AH38" s="19">
        <f t="shared" si="0"/>
        <v>185.43800000000002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0.19</v>
      </c>
      <c r="D40" s="21">
        <v>0.44600000000000001</v>
      </c>
      <c r="E40" s="21">
        <v>0.442</v>
      </c>
      <c r="F40" s="21">
        <v>0.44600000000000001</v>
      </c>
      <c r="G40" s="21">
        <v>0.433</v>
      </c>
      <c r="H40" s="21">
        <v>0.435</v>
      </c>
      <c r="I40" s="21">
        <v>0.434</v>
      </c>
      <c r="J40" s="21">
        <v>0.48699999999999999</v>
      </c>
      <c r="K40" s="21">
        <v>0.48099999999999998</v>
      </c>
      <c r="L40" s="21">
        <v>0.48699999999999999</v>
      </c>
      <c r="M40" s="21">
        <v>0.45500000000000002</v>
      </c>
      <c r="N40" s="21">
        <v>0.45200000000000001</v>
      </c>
      <c r="O40" s="21">
        <v>0.32300000000000001</v>
      </c>
      <c r="P40" s="21">
        <v>0.33700000000000002</v>
      </c>
      <c r="Q40" s="21">
        <v>0.217</v>
      </c>
      <c r="R40" s="21">
        <v>0.21099999999999999</v>
      </c>
      <c r="S40" s="21">
        <v>0.21199999999999999</v>
      </c>
      <c r="T40" s="21">
        <v>9.7000000000000003E-2</v>
      </c>
      <c r="U40" s="21">
        <v>8.5999999999999993E-2</v>
      </c>
      <c r="V40" s="21">
        <v>0</v>
      </c>
      <c r="W40" s="21">
        <v>0</v>
      </c>
      <c r="X40" s="21">
        <v>0</v>
      </c>
      <c r="Y40" s="21">
        <v>1E-3</v>
      </c>
      <c r="Z40" s="21">
        <v>0</v>
      </c>
      <c r="AA40" s="21">
        <v>1E-3</v>
      </c>
      <c r="AB40" s="21">
        <v>1E-3</v>
      </c>
      <c r="AC40" s="21">
        <v>1E-3</v>
      </c>
      <c r="AD40" s="21">
        <v>1E-3</v>
      </c>
      <c r="AE40" s="21">
        <v>0</v>
      </c>
      <c r="AF40" s="21">
        <v>0</v>
      </c>
      <c r="AG40" s="21">
        <v>0</v>
      </c>
      <c r="AH40" s="19">
        <f t="shared" si="0"/>
        <v>6.6760000000000019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0</v>
      </c>
      <c r="E42" s="21">
        <v>1E-3</v>
      </c>
      <c r="F42" s="21">
        <v>1E-3</v>
      </c>
      <c r="G42" s="21">
        <v>0</v>
      </c>
      <c r="H42" s="21">
        <v>1E-3</v>
      </c>
      <c r="I42" s="21">
        <v>9.2999999999999999E-2</v>
      </c>
      <c r="J42" s="21">
        <v>0</v>
      </c>
      <c r="K42" s="21">
        <v>0</v>
      </c>
      <c r="L42" s="21">
        <v>1E-3</v>
      </c>
      <c r="M42" s="21">
        <v>0</v>
      </c>
      <c r="N42" s="21">
        <v>1E-3</v>
      </c>
      <c r="O42" s="21">
        <v>1E-3</v>
      </c>
      <c r="P42" s="21">
        <v>1E-3</v>
      </c>
      <c r="Q42" s="21">
        <v>0</v>
      </c>
      <c r="R42" s="21">
        <v>1E-3</v>
      </c>
      <c r="S42" s="21">
        <v>1E-3</v>
      </c>
      <c r="T42" s="21">
        <v>0</v>
      </c>
      <c r="U42" s="21">
        <v>0</v>
      </c>
      <c r="V42" s="21">
        <v>1E-3</v>
      </c>
      <c r="W42" s="21">
        <v>1E-3</v>
      </c>
      <c r="X42" s="21">
        <v>1E-3</v>
      </c>
      <c r="Y42" s="21">
        <v>0</v>
      </c>
      <c r="Z42" s="21">
        <v>1E-3</v>
      </c>
      <c r="AA42" s="21">
        <v>0</v>
      </c>
      <c r="AB42" s="21">
        <v>0</v>
      </c>
      <c r="AC42" s="21">
        <v>0</v>
      </c>
      <c r="AD42" s="21">
        <v>0</v>
      </c>
      <c r="AE42" s="21">
        <v>1E-3</v>
      </c>
      <c r="AF42" s="21">
        <v>1E-3</v>
      </c>
      <c r="AG42" s="21">
        <v>1E-3</v>
      </c>
      <c r="AH42" s="19">
        <f t="shared" si="0"/>
        <v>0.10900000000000001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1E-3</v>
      </c>
      <c r="E44" s="21">
        <v>0</v>
      </c>
      <c r="F44" s="21">
        <v>0</v>
      </c>
      <c r="G44" s="21">
        <v>1E-3</v>
      </c>
      <c r="H44" s="21">
        <v>0</v>
      </c>
      <c r="I44" s="21">
        <v>0</v>
      </c>
      <c r="J44" s="21">
        <v>1E-3</v>
      </c>
      <c r="K44" s="21">
        <v>0</v>
      </c>
      <c r="L44" s="21">
        <v>0</v>
      </c>
      <c r="M44" s="21">
        <v>1E-3</v>
      </c>
      <c r="N44" s="21">
        <v>0</v>
      </c>
      <c r="O44" s="21">
        <v>0</v>
      </c>
      <c r="P44" s="21">
        <v>0</v>
      </c>
      <c r="Q44" s="21">
        <v>1E-3</v>
      </c>
      <c r="R44" s="21">
        <v>0</v>
      </c>
      <c r="S44" s="21">
        <v>0</v>
      </c>
      <c r="T44" s="21">
        <v>1E-3</v>
      </c>
      <c r="U44" s="21">
        <v>1E-3</v>
      </c>
      <c r="V44" s="21">
        <v>0</v>
      </c>
      <c r="W44" s="21">
        <v>0</v>
      </c>
      <c r="X44" s="21">
        <v>0</v>
      </c>
      <c r="Y44" s="21">
        <v>1E-3</v>
      </c>
      <c r="Z44" s="21">
        <v>0</v>
      </c>
      <c r="AA44" s="21">
        <v>1E-3</v>
      </c>
      <c r="AB44" s="21">
        <v>1E-3</v>
      </c>
      <c r="AC44" s="21">
        <v>1E-3</v>
      </c>
      <c r="AD44" s="21">
        <v>1E-3</v>
      </c>
      <c r="AE44" s="21">
        <v>0</v>
      </c>
      <c r="AF44" s="21">
        <v>0</v>
      </c>
      <c r="AG44" s="21">
        <v>0</v>
      </c>
      <c r="AH44" s="19">
        <f t="shared" si="0"/>
        <v>1.3000000000000005E-2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0</v>
      </c>
      <c r="E46" s="21">
        <v>1E-3</v>
      </c>
      <c r="F46" s="21">
        <v>1E-3</v>
      </c>
      <c r="G46" s="21">
        <v>0</v>
      </c>
      <c r="H46" s="21">
        <v>1E-3</v>
      </c>
      <c r="I46" s="21">
        <v>1E-3</v>
      </c>
      <c r="J46" s="21">
        <v>0</v>
      </c>
      <c r="K46" s="21">
        <v>1E-3</v>
      </c>
      <c r="L46" s="21">
        <v>1E-3</v>
      </c>
      <c r="M46" s="21">
        <v>0</v>
      </c>
      <c r="N46" s="21">
        <v>0</v>
      </c>
      <c r="O46" s="21">
        <v>1E-3</v>
      </c>
      <c r="P46" s="21">
        <v>1E-3</v>
      </c>
      <c r="Q46" s="21">
        <v>0</v>
      </c>
      <c r="R46" s="21">
        <v>1E-3</v>
      </c>
      <c r="S46" s="21">
        <v>1E-3</v>
      </c>
      <c r="T46" s="21">
        <v>0</v>
      </c>
      <c r="U46" s="21">
        <v>0</v>
      </c>
      <c r="V46" s="21">
        <v>1E-3</v>
      </c>
      <c r="W46" s="21">
        <v>1E-3</v>
      </c>
      <c r="X46" s="21">
        <v>1E-3</v>
      </c>
      <c r="Y46" s="21">
        <v>0</v>
      </c>
      <c r="Z46" s="21">
        <v>1E-3</v>
      </c>
      <c r="AA46" s="21">
        <v>0</v>
      </c>
      <c r="AB46" s="21">
        <v>0</v>
      </c>
      <c r="AC46" s="21">
        <v>0</v>
      </c>
      <c r="AD46" s="21">
        <v>0</v>
      </c>
      <c r="AE46" s="21">
        <v>1E-3</v>
      </c>
      <c r="AF46" s="21">
        <v>1E-3</v>
      </c>
      <c r="AG46" s="21">
        <v>1E-3</v>
      </c>
      <c r="AH46" s="19">
        <f t="shared" si="0"/>
        <v>1.7000000000000008E-2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1E-3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1E-3</v>
      </c>
      <c r="N48" s="21">
        <v>1E-3</v>
      </c>
      <c r="O48" s="21">
        <v>0</v>
      </c>
      <c r="P48" s="21">
        <v>0</v>
      </c>
      <c r="Q48" s="21">
        <v>1E-3</v>
      </c>
      <c r="R48" s="21">
        <v>0</v>
      </c>
      <c r="S48" s="21">
        <v>0</v>
      </c>
      <c r="T48" s="21">
        <v>1E-3</v>
      </c>
      <c r="U48" s="21">
        <v>1E-3</v>
      </c>
      <c r="V48" s="21">
        <v>0</v>
      </c>
      <c r="W48" s="21">
        <v>0</v>
      </c>
      <c r="X48" s="21">
        <v>0</v>
      </c>
      <c r="Y48" s="21">
        <v>1E-3</v>
      </c>
      <c r="Z48" s="21">
        <v>0</v>
      </c>
      <c r="AA48" s="21">
        <v>1E-3</v>
      </c>
      <c r="AB48" s="21">
        <v>1E-3</v>
      </c>
      <c r="AC48" s="21">
        <v>1E-3</v>
      </c>
      <c r="AD48" s="21">
        <v>0</v>
      </c>
      <c r="AE48" s="21">
        <v>0</v>
      </c>
      <c r="AF48" s="21">
        <v>0</v>
      </c>
      <c r="AG48" s="21">
        <v>0</v>
      </c>
      <c r="AH48" s="19">
        <f t="shared" si="0"/>
        <v>1.1000000000000003E-2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1E-3</v>
      </c>
      <c r="F50" s="21">
        <v>0</v>
      </c>
      <c r="G50" s="21">
        <v>1E-3</v>
      </c>
      <c r="H50" s="21">
        <v>1E-3</v>
      </c>
      <c r="I50" s="21">
        <v>1E-3</v>
      </c>
      <c r="J50" s="21">
        <v>1E-3</v>
      </c>
      <c r="K50" s="21">
        <v>1E-3</v>
      </c>
      <c r="L50" s="21">
        <v>0</v>
      </c>
      <c r="M50" s="21">
        <v>0</v>
      </c>
      <c r="N50" s="21">
        <v>0</v>
      </c>
      <c r="O50" s="21">
        <v>1E-3</v>
      </c>
      <c r="P50" s="21">
        <v>1E-3</v>
      </c>
      <c r="Q50" s="21">
        <v>0</v>
      </c>
      <c r="R50" s="21">
        <v>1E-3</v>
      </c>
      <c r="S50" s="21">
        <v>1E-3</v>
      </c>
      <c r="T50" s="21">
        <v>0</v>
      </c>
      <c r="U50" s="21">
        <v>0</v>
      </c>
      <c r="V50" s="21">
        <v>1E-3</v>
      </c>
      <c r="W50" s="21">
        <v>1E-3</v>
      </c>
      <c r="X50" s="21">
        <v>1E-3</v>
      </c>
      <c r="Y50" s="21">
        <v>0</v>
      </c>
      <c r="Z50" s="21">
        <v>1E-3</v>
      </c>
      <c r="AA50" s="21">
        <v>0</v>
      </c>
      <c r="AB50" s="21">
        <v>0</v>
      </c>
      <c r="AC50" s="21">
        <v>0</v>
      </c>
      <c r="AD50" s="21">
        <v>1E-3</v>
      </c>
      <c r="AE50" s="21">
        <v>1E-3</v>
      </c>
      <c r="AF50" s="21">
        <v>1E-3</v>
      </c>
      <c r="AG50" s="21">
        <v>1E-3</v>
      </c>
      <c r="AH50" s="19">
        <f t="shared" si="0"/>
        <v>1.8000000000000009E-2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0</v>
      </c>
      <c r="F52" s="21">
        <v>1E-3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1E-3</v>
      </c>
      <c r="M52" s="21">
        <v>1E-3</v>
      </c>
      <c r="N52" s="21">
        <v>1E-3</v>
      </c>
      <c r="O52" s="21">
        <v>0</v>
      </c>
      <c r="P52" s="21">
        <v>0</v>
      </c>
      <c r="Q52" s="21">
        <v>1E-3</v>
      </c>
      <c r="R52" s="21">
        <v>0</v>
      </c>
      <c r="S52" s="21">
        <v>0</v>
      </c>
      <c r="T52" s="21">
        <v>1E-3</v>
      </c>
      <c r="U52" s="21">
        <v>1E-3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1E-3</v>
      </c>
      <c r="AC52" s="21">
        <v>1E-3</v>
      </c>
      <c r="AD52" s="21">
        <v>0</v>
      </c>
      <c r="AE52" s="21">
        <v>0</v>
      </c>
      <c r="AF52" s="21">
        <v>0</v>
      </c>
      <c r="AG52" s="21">
        <v>0</v>
      </c>
      <c r="AH52" s="19">
        <f t="shared" si="0"/>
        <v>1.1000000000000003E-2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1E-3</v>
      </c>
      <c r="F54" s="21">
        <v>0</v>
      </c>
      <c r="G54" s="21">
        <v>1E-3</v>
      </c>
      <c r="H54" s="21">
        <v>1E-3</v>
      </c>
      <c r="I54" s="21">
        <v>0</v>
      </c>
      <c r="J54" s="21">
        <v>1E-3</v>
      </c>
      <c r="K54" s="21">
        <v>1E-3</v>
      </c>
      <c r="L54" s="21">
        <v>0</v>
      </c>
      <c r="M54" s="21">
        <v>0</v>
      </c>
      <c r="N54" s="21">
        <v>0</v>
      </c>
      <c r="O54" s="21">
        <v>1E-3</v>
      </c>
      <c r="P54" s="21">
        <v>1E-3</v>
      </c>
      <c r="Q54" s="21">
        <v>0</v>
      </c>
      <c r="R54" s="21">
        <v>0</v>
      </c>
      <c r="S54" s="21">
        <v>1E-3</v>
      </c>
      <c r="T54" s="21">
        <v>0</v>
      </c>
      <c r="U54" s="21">
        <v>0</v>
      </c>
      <c r="V54" s="21">
        <v>1E-3</v>
      </c>
      <c r="W54" s="21">
        <v>1E-3</v>
      </c>
      <c r="X54" s="21">
        <v>0</v>
      </c>
      <c r="Y54" s="21">
        <v>1E-3</v>
      </c>
      <c r="Z54" s="21">
        <v>0</v>
      </c>
      <c r="AA54" s="21">
        <v>1E-3</v>
      </c>
      <c r="AB54" s="21">
        <v>0</v>
      </c>
      <c r="AC54" s="21">
        <v>0</v>
      </c>
      <c r="AD54" s="21">
        <v>1E-3</v>
      </c>
      <c r="AE54" s="21">
        <v>1E-3</v>
      </c>
      <c r="AF54" s="21">
        <v>1E-3</v>
      </c>
      <c r="AG54" s="21">
        <v>1E-3</v>
      </c>
      <c r="AH54" s="19">
        <f t="shared" si="0"/>
        <v>1.6000000000000007E-2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0</v>
      </c>
      <c r="F56" s="21">
        <v>1E-3</v>
      </c>
      <c r="G56" s="21">
        <v>0</v>
      </c>
      <c r="H56" s="21">
        <v>0</v>
      </c>
      <c r="I56" s="21">
        <v>1E-3</v>
      </c>
      <c r="J56" s="21">
        <v>0</v>
      </c>
      <c r="K56" s="21">
        <v>0</v>
      </c>
      <c r="L56" s="21">
        <v>1E-3</v>
      </c>
      <c r="M56" s="21">
        <v>1E-3</v>
      </c>
      <c r="N56" s="21">
        <v>1E-3</v>
      </c>
      <c r="O56" s="21">
        <v>0</v>
      </c>
      <c r="P56" s="21">
        <v>0</v>
      </c>
      <c r="Q56" s="21">
        <v>0</v>
      </c>
      <c r="R56" s="21">
        <v>1E-3</v>
      </c>
      <c r="S56" s="21">
        <v>0</v>
      </c>
      <c r="T56" s="21">
        <v>1E-3</v>
      </c>
      <c r="U56" s="21">
        <v>1E-3</v>
      </c>
      <c r="V56" s="21">
        <v>0</v>
      </c>
      <c r="W56" s="21">
        <v>0</v>
      </c>
      <c r="X56" s="21">
        <v>1E-3</v>
      </c>
      <c r="Y56" s="21">
        <v>0</v>
      </c>
      <c r="Z56" s="21">
        <v>1E-3</v>
      </c>
      <c r="AA56" s="21">
        <v>0</v>
      </c>
      <c r="AB56" s="21">
        <v>1E-3</v>
      </c>
      <c r="AC56" s="21">
        <v>1E-3</v>
      </c>
      <c r="AD56" s="21">
        <v>0</v>
      </c>
      <c r="AE56" s="21">
        <v>0</v>
      </c>
      <c r="AF56" s="21">
        <v>0</v>
      </c>
      <c r="AG56" s="21">
        <v>0</v>
      </c>
      <c r="AH56" s="19">
        <f t="shared" si="0"/>
        <v>1.4000000000000005E-2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1.5329999999999999</v>
      </c>
      <c r="D58" s="21">
        <v>2.84</v>
      </c>
      <c r="E58" s="21">
        <v>2.77</v>
      </c>
      <c r="F58" s="21">
        <v>2.6589999999999998</v>
      </c>
      <c r="G58" s="21">
        <v>2.6339999999999999</v>
      </c>
      <c r="H58" s="21">
        <v>2.58</v>
      </c>
      <c r="I58" s="21">
        <v>3.5110000000000001</v>
      </c>
      <c r="J58" s="21">
        <v>3.3559999999999999</v>
      </c>
      <c r="K58" s="21">
        <v>3.246</v>
      </c>
      <c r="L58" s="21">
        <v>3.1739999999999999</v>
      </c>
      <c r="M58" s="21">
        <v>3.036</v>
      </c>
      <c r="N58" s="21">
        <v>2.8969999999999998</v>
      </c>
      <c r="O58" s="21">
        <v>2.8079999999999998</v>
      </c>
      <c r="P58" s="21">
        <v>2.742</v>
      </c>
      <c r="Q58" s="21">
        <v>2.6269999999999998</v>
      </c>
      <c r="R58" s="21">
        <v>2.484</v>
      </c>
      <c r="S58" s="21">
        <v>2.2829999999999999</v>
      </c>
      <c r="T58" s="21">
        <v>2.1230000000000002</v>
      </c>
      <c r="U58" s="21">
        <v>1.887</v>
      </c>
      <c r="V58" s="21">
        <v>1.371</v>
      </c>
      <c r="W58" s="21">
        <v>1.2669999999999999</v>
      </c>
      <c r="X58" s="21">
        <v>1.1990000000000001</v>
      </c>
      <c r="Y58" s="21">
        <v>1.389</v>
      </c>
      <c r="Z58" s="21">
        <v>1.4750000000000001</v>
      </c>
      <c r="AA58" s="21">
        <v>1.3680000000000001</v>
      </c>
      <c r="AB58" s="21">
        <v>1.276</v>
      </c>
      <c r="AC58" s="21">
        <v>1.0569999999999999</v>
      </c>
      <c r="AD58" s="21">
        <v>0.92700000000000005</v>
      </c>
      <c r="AE58" s="21">
        <v>0.80800000000000005</v>
      </c>
      <c r="AF58" s="21">
        <v>0.68600000000000005</v>
      </c>
      <c r="AG58" s="21">
        <v>0.44900000000000001</v>
      </c>
      <c r="AH58" s="19">
        <f t="shared" si="0"/>
        <v>64.462000000000018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2.4670000000000001</v>
      </c>
      <c r="D60" s="21">
        <v>4.718</v>
      </c>
      <c r="E60" s="21">
        <v>4.7729999999999997</v>
      </c>
      <c r="F60" s="21">
        <v>4.6749999999999998</v>
      </c>
      <c r="G60" s="21">
        <v>4.7750000000000004</v>
      </c>
      <c r="H60" s="21">
        <v>4.8440000000000003</v>
      </c>
      <c r="I60" s="21">
        <v>6.806</v>
      </c>
      <c r="J60" s="21">
        <v>6.742</v>
      </c>
      <c r="K60" s="21">
        <v>6.6779999999999999</v>
      </c>
      <c r="L60" s="21">
        <v>6.7169999999999996</v>
      </c>
      <c r="M60" s="21">
        <v>6.6660000000000004</v>
      </c>
      <c r="N60" s="21">
        <v>6.7119999999999997</v>
      </c>
      <c r="O60" s="21">
        <v>6.5880000000000001</v>
      </c>
      <c r="P60" s="21">
        <v>6.734</v>
      </c>
      <c r="Q60" s="21">
        <v>6.7210000000000001</v>
      </c>
      <c r="R60" s="21">
        <v>6.6589999999999998</v>
      </c>
      <c r="S60" s="21">
        <v>6.6280000000000001</v>
      </c>
      <c r="T60" s="21">
        <v>6.28</v>
      </c>
      <c r="U60" s="21">
        <v>5.8179999999999996</v>
      </c>
      <c r="V60" s="21">
        <v>4.7050000000000001</v>
      </c>
      <c r="W60" s="21">
        <v>4.6050000000000004</v>
      </c>
      <c r="X60" s="21">
        <v>4.6319999999999997</v>
      </c>
      <c r="Y60" s="21">
        <v>6.133</v>
      </c>
      <c r="Z60" s="21">
        <v>6.9939999999999998</v>
      </c>
      <c r="AA60" s="21">
        <v>6.9359999999999999</v>
      </c>
      <c r="AB60" s="21">
        <v>6.7679999999999998</v>
      </c>
      <c r="AC60" s="21">
        <v>7.1539999999999999</v>
      </c>
      <c r="AD60" s="21">
        <v>7.1210000000000004</v>
      </c>
      <c r="AE60" s="21">
        <v>7.16</v>
      </c>
      <c r="AF60" s="21">
        <v>7.0410000000000004</v>
      </c>
      <c r="AG60" s="21">
        <v>6.8680000000000003</v>
      </c>
      <c r="AH60" s="19">
        <f t="shared" si="0"/>
        <v>188.11799999999999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3.7759999999999998</v>
      </c>
      <c r="D62" s="21">
        <v>4.82</v>
      </c>
      <c r="E62" s="21">
        <v>4.8239999999999998</v>
      </c>
      <c r="F62" s="21">
        <v>4.7240000000000002</v>
      </c>
      <c r="G62" s="21">
        <v>4.8460000000000001</v>
      </c>
      <c r="H62" s="21">
        <v>4.8869999999999996</v>
      </c>
      <c r="I62" s="21">
        <v>6.8310000000000004</v>
      </c>
      <c r="J62" s="21">
        <v>6.87</v>
      </c>
      <c r="K62" s="21">
        <v>6.7729999999999997</v>
      </c>
      <c r="L62" s="21">
        <v>6.806</v>
      </c>
      <c r="M62" s="21">
        <v>6.7220000000000004</v>
      </c>
      <c r="N62" s="21">
        <v>6.7720000000000002</v>
      </c>
      <c r="O62" s="21">
        <v>6.6029999999999998</v>
      </c>
      <c r="P62" s="21">
        <v>6.758</v>
      </c>
      <c r="Q62" s="21">
        <v>6.798</v>
      </c>
      <c r="R62" s="21">
        <v>6.681</v>
      </c>
      <c r="S62" s="21">
        <v>6.6879999999999997</v>
      </c>
      <c r="T62" s="21">
        <v>6.2110000000000003</v>
      </c>
      <c r="U62" s="21">
        <v>5.6879999999999997</v>
      </c>
      <c r="V62" s="21">
        <v>4.8310000000000004</v>
      </c>
      <c r="W62" s="21">
        <v>4.657</v>
      </c>
      <c r="X62" s="21">
        <v>5.1100000000000003</v>
      </c>
      <c r="Y62" s="21">
        <v>7.1139999999999999</v>
      </c>
      <c r="Z62" s="21">
        <v>7.0739999999999998</v>
      </c>
      <c r="AA62" s="21">
        <v>6.96</v>
      </c>
      <c r="AB62" s="21">
        <v>6.673</v>
      </c>
      <c r="AC62" s="21">
        <v>7.2439999999999998</v>
      </c>
      <c r="AD62" s="21">
        <v>7.1550000000000002</v>
      </c>
      <c r="AE62" s="21">
        <v>7.18</v>
      </c>
      <c r="AF62" s="21">
        <v>7.0830000000000002</v>
      </c>
      <c r="AG62" s="21">
        <v>6.9770000000000003</v>
      </c>
      <c r="AH62" s="19">
        <f t="shared" si="0"/>
        <v>192.13600000000002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4.7949999999999999</v>
      </c>
      <c r="D64" s="21">
        <v>4.8</v>
      </c>
      <c r="E64" s="21">
        <v>4.8730000000000002</v>
      </c>
      <c r="F64" s="21">
        <v>4.7709999999999999</v>
      </c>
      <c r="G64" s="21">
        <v>4.8890000000000002</v>
      </c>
      <c r="H64" s="21">
        <v>4.8460000000000001</v>
      </c>
      <c r="I64" s="21">
        <v>6.8019999999999996</v>
      </c>
      <c r="J64" s="21">
        <v>6.9169999999999998</v>
      </c>
      <c r="K64" s="21">
        <v>6.7869999999999999</v>
      </c>
      <c r="L64" s="21">
        <v>6.9009999999999998</v>
      </c>
      <c r="M64" s="21">
        <v>6.6870000000000003</v>
      </c>
      <c r="N64" s="21">
        <v>6.7850000000000001</v>
      </c>
      <c r="O64" s="21">
        <v>6.6539999999999999</v>
      </c>
      <c r="P64" s="21">
        <v>6.7569999999999997</v>
      </c>
      <c r="Q64" s="21">
        <v>6.8070000000000004</v>
      </c>
      <c r="R64" s="21">
        <v>6.6760000000000002</v>
      </c>
      <c r="S64" s="21">
        <v>6.742</v>
      </c>
      <c r="T64" s="21">
        <v>6.298</v>
      </c>
      <c r="U64" s="21">
        <v>5.7869999999999999</v>
      </c>
      <c r="V64" s="21">
        <v>4.8209999999999997</v>
      </c>
      <c r="W64" s="21">
        <v>4.6139999999999999</v>
      </c>
      <c r="X64" s="21">
        <v>5.2160000000000002</v>
      </c>
      <c r="Y64" s="21">
        <v>7.069</v>
      </c>
      <c r="Z64" s="21">
        <v>7.1420000000000003</v>
      </c>
      <c r="AA64" s="21">
        <v>7.0430000000000001</v>
      </c>
      <c r="AB64" s="21">
        <v>6.7539999999999996</v>
      </c>
      <c r="AC64" s="21">
        <v>7.242</v>
      </c>
      <c r="AD64" s="21">
        <v>7.1239999999999997</v>
      </c>
      <c r="AE64" s="21">
        <v>7.0910000000000002</v>
      </c>
      <c r="AF64" s="21">
        <v>7.0750000000000002</v>
      </c>
      <c r="AG64" s="21">
        <v>7.0650000000000004</v>
      </c>
      <c r="AH64" s="19">
        <f t="shared" si="0"/>
        <v>193.82999999999998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4.8879999999999999</v>
      </c>
      <c r="D66" s="21">
        <v>4.8410000000000002</v>
      </c>
      <c r="E66" s="21">
        <v>4.8879999999999999</v>
      </c>
      <c r="F66" s="21">
        <v>4.8120000000000003</v>
      </c>
      <c r="G66" s="21">
        <v>4.9139999999999997</v>
      </c>
      <c r="H66" s="21">
        <v>4.8869999999999996</v>
      </c>
      <c r="I66" s="21">
        <v>6.8680000000000003</v>
      </c>
      <c r="J66" s="21">
        <v>6.9370000000000003</v>
      </c>
      <c r="K66" s="21">
        <v>6.8639999999999999</v>
      </c>
      <c r="L66" s="21">
        <v>6.8739999999999997</v>
      </c>
      <c r="M66" s="21">
        <v>6.7</v>
      </c>
      <c r="N66" s="21">
        <v>6.7670000000000003</v>
      </c>
      <c r="O66" s="21">
        <v>6.7069999999999999</v>
      </c>
      <c r="P66" s="21">
        <v>6.8209999999999997</v>
      </c>
      <c r="Q66" s="21">
        <v>6.83</v>
      </c>
      <c r="R66" s="21">
        <v>6.7309999999999999</v>
      </c>
      <c r="S66" s="21">
        <v>6.7690000000000001</v>
      </c>
      <c r="T66" s="21">
        <v>6.37</v>
      </c>
      <c r="U66" s="21">
        <v>5.8140000000000001</v>
      </c>
      <c r="V66" s="21">
        <v>4.8339999999999996</v>
      </c>
      <c r="W66" s="21">
        <v>4.6760000000000002</v>
      </c>
      <c r="X66" s="21">
        <v>5.2130000000000001</v>
      </c>
      <c r="Y66" s="21">
        <v>7.0940000000000003</v>
      </c>
      <c r="Z66" s="21">
        <v>7.1689999999999996</v>
      </c>
      <c r="AA66" s="21">
        <v>7.149</v>
      </c>
      <c r="AB66" s="21">
        <v>6.734</v>
      </c>
      <c r="AC66" s="21">
        <v>7.2549999999999999</v>
      </c>
      <c r="AD66" s="21">
        <v>7.141</v>
      </c>
      <c r="AE66" s="21">
        <v>7.1440000000000001</v>
      </c>
      <c r="AF66" s="21">
        <v>7.1239999999999997</v>
      </c>
      <c r="AG66" s="21">
        <v>7.1130000000000004</v>
      </c>
      <c r="AH66" s="19">
        <f t="shared" si="0"/>
        <v>194.928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4.952</v>
      </c>
      <c r="D68" s="21">
        <v>4.88</v>
      </c>
      <c r="E68" s="21">
        <v>4.9429999999999996</v>
      </c>
      <c r="F68" s="21">
        <v>4.8460000000000001</v>
      </c>
      <c r="G68" s="21">
        <v>4.8659999999999997</v>
      </c>
      <c r="H68" s="21">
        <v>4.9139999999999997</v>
      </c>
      <c r="I68" s="21">
        <v>6.9429999999999996</v>
      </c>
      <c r="J68" s="21">
        <v>6.9320000000000004</v>
      </c>
      <c r="K68" s="21">
        <v>6.9009999999999998</v>
      </c>
      <c r="L68" s="21">
        <v>6.9109999999999996</v>
      </c>
      <c r="M68" s="21">
        <v>6.5449999999999999</v>
      </c>
      <c r="N68" s="21">
        <v>6.867</v>
      </c>
      <c r="O68" s="21">
        <v>6.8029999999999999</v>
      </c>
      <c r="P68" s="21">
        <v>6.8650000000000002</v>
      </c>
      <c r="Q68" s="21">
        <v>6.8310000000000004</v>
      </c>
      <c r="R68" s="21">
        <v>6.798</v>
      </c>
      <c r="S68" s="21">
        <v>6.8239999999999998</v>
      </c>
      <c r="T68" s="21">
        <v>6.3250000000000002</v>
      </c>
      <c r="U68" s="21">
        <v>5.9279999999999999</v>
      </c>
      <c r="V68" s="21">
        <v>4.8609999999999998</v>
      </c>
      <c r="W68" s="21">
        <v>4.71</v>
      </c>
      <c r="X68" s="21">
        <v>5.25</v>
      </c>
      <c r="Y68" s="21">
        <v>7.1150000000000002</v>
      </c>
      <c r="Z68" s="21">
        <v>7.2560000000000002</v>
      </c>
      <c r="AA68" s="21">
        <v>7.2190000000000003</v>
      </c>
      <c r="AB68" s="21">
        <v>6.6970000000000001</v>
      </c>
      <c r="AC68" s="21">
        <v>7.3010000000000002</v>
      </c>
      <c r="AD68" s="21">
        <v>7.157</v>
      </c>
      <c r="AE68" s="21">
        <v>7.0949999999999998</v>
      </c>
      <c r="AF68" s="21">
        <v>7.2290000000000001</v>
      </c>
      <c r="AG68" s="21">
        <v>7.1970000000000001</v>
      </c>
      <c r="AH68" s="19">
        <f t="shared" si="0"/>
        <v>195.96100000000001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5.0069999999999997</v>
      </c>
      <c r="D70" s="21">
        <v>4.968</v>
      </c>
      <c r="E70" s="21">
        <v>4.9729999999999999</v>
      </c>
      <c r="F70" s="21">
        <v>4.9130000000000003</v>
      </c>
      <c r="G70" s="21">
        <v>4.9420000000000002</v>
      </c>
      <c r="H70" s="21">
        <v>4.9989999999999997</v>
      </c>
      <c r="I70" s="21">
        <v>6.9969999999999999</v>
      </c>
      <c r="J70" s="21">
        <v>7.0289999999999999</v>
      </c>
      <c r="K70" s="21">
        <v>6.98</v>
      </c>
      <c r="L70" s="21">
        <v>6.9340000000000002</v>
      </c>
      <c r="M70" s="21">
        <v>6.5620000000000003</v>
      </c>
      <c r="N70" s="21">
        <v>6.92</v>
      </c>
      <c r="O70" s="21">
        <v>6.8890000000000002</v>
      </c>
      <c r="P70" s="21">
        <v>6.9219999999999997</v>
      </c>
      <c r="Q70" s="21">
        <v>6.907</v>
      </c>
      <c r="R70" s="21">
        <v>6.8390000000000004</v>
      </c>
      <c r="S70" s="21">
        <v>6.8929999999999998</v>
      </c>
      <c r="T70" s="21">
        <v>6.343</v>
      </c>
      <c r="U70" s="21">
        <v>5.96</v>
      </c>
      <c r="V70" s="21">
        <v>4.8310000000000004</v>
      </c>
      <c r="W70" s="21">
        <v>4.7530000000000001</v>
      </c>
      <c r="X70" s="21">
        <v>5.2930000000000001</v>
      </c>
      <c r="Y70" s="21">
        <v>7.1550000000000002</v>
      </c>
      <c r="Z70" s="21">
        <v>7.3150000000000004</v>
      </c>
      <c r="AA70" s="21">
        <v>7.2460000000000004</v>
      </c>
      <c r="AB70" s="21">
        <v>6.7619999999999996</v>
      </c>
      <c r="AC70" s="21">
        <v>7.343</v>
      </c>
      <c r="AD70" s="21">
        <v>7.2460000000000004</v>
      </c>
      <c r="AE70" s="21">
        <v>7.1660000000000004</v>
      </c>
      <c r="AF70" s="21">
        <v>7.3070000000000004</v>
      </c>
      <c r="AG70" s="21">
        <v>7.3029999999999999</v>
      </c>
      <c r="AH70" s="19">
        <f t="shared" si="0"/>
        <v>197.69699999999997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48.6</v>
      </c>
      <c r="D72" s="19">
        <f t="shared" ref="D72:AG72" si="2">SUM(D24,D26,D28,D30,D32,D34,D36,D38,D40,D42,D44,D46,D48,D50,D52,D54,D56,D58,D60,D62,D64,D66,D68,D70)</f>
        <v>72.792999999999992</v>
      </c>
      <c r="E72" s="19">
        <f t="shared" si="2"/>
        <v>72.659999999999982</v>
      </c>
      <c r="F72" s="19">
        <f t="shared" si="2"/>
        <v>71.929999999999978</v>
      </c>
      <c r="G72" s="19">
        <f t="shared" si="2"/>
        <v>72.169999999999987</v>
      </c>
      <c r="H72" s="19">
        <f t="shared" si="2"/>
        <v>72.84899999999999</v>
      </c>
      <c r="I72" s="19">
        <f t="shared" si="2"/>
        <v>85.751999999999981</v>
      </c>
      <c r="J72" s="19">
        <f t="shared" si="2"/>
        <v>101.71299999999999</v>
      </c>
      <c r="K72" s="19">
        <f t="shared" si="2"/>
        <v>101.393</v>
      </c>
      <c r="L72" s="19">
        <f t="shared" si="2"/>
        <v>101.47699999999999</v>
      </c>
      <c r="M72" s="19">
        <f t="shared" si="2"/>
        <v>98.833999999999989</v>
      </c>
      <c r="N72" s="19">
        <f t="shared" si="2"/>
        <v>97.955999999999989</v>
      </c>
      <c r="O72" s="19">
        <f t="shared" si="2"/>
        <v>97.600999999999971</v>
      </c>
      <c r="P72" s="19">
        <f t="shared" si="2"/>
        <v>99.351999999999975</v>
      </c>
      <c r="Q72" s="19">
        <f t="shared" si="2"/>
        <v>98.418000000000006</v>
      </c>
      <c r="R72" s="19">
        <f t="shared" si="2"/>
        <v>97.756999999999991</v>
      </c>
      <c r="S72" s="19">
        <f t="shared" si="2"/>
        <v>96.981999999999999</v>
      </c>
      <c r="T72" s="19">
        <f t="shared" si="2"/>
        <v>94.515000000000015</v>
      </c>
      <c r="U72" s="19">
        <f t="shared" si="2"/>
        <v>85.407999999999973</v>
      </c>
      <c r="V72" s="19">
        <f t="shared" si="2"/>
        <v>71.671999999999997</v>
      </c>
      <c r="W72" s="19">
        <f t="shared" si="2"/>
        <v>67.576999999999998</v>
      </c>
      <c r="X72" s="19">
        <f t="shared" si="2"/>
        <v>70.787999999999997</v>
      </c>
      <c r="Y72" s="19">
        <f t="shared" si="2"/>
        <v>85.679999999999978</v>
      </c>
      <c r="Z72" s="19">
        <f t="shared" si="2"/>
        <v>102.68199999999999</v>
      </c>
      <c r="AA72" s="19">
        <f t="shared" si="2"/>
        <v>102.93999999999998</v>
      </c>
      <c r="AB72" s="19">
        <f t="shared" si="2"/>
        <v>99.698999999999998</v>
      </c>
      <c r="AC72" s="19">
        <f t="shared" si="2"/>
        <v>99.043999999999997</v>
      </c>
      <c r="AD72" s="19">
        <f t="shared" si="2"/>
        <v>102.05399999999997</v>
      </c>
      <c r="AE72" s="19">
        <f t="shared" si="2"/>
        <v>101.70899999999999</v>
      </c>
      <c r="AF72" s="19">
        <f t="shared" si="2"/>
        <v>100.24699999999999</v>
      </c>
      <c r="AG72" s="19">
        <f t="shared" si="2"/>
        <v>101.12299999999999</v>
      </c>
      <c r="AH72" s="19">
        <f>SUM(C72:AG72)</f>
        <v>2773.375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10748.642</v>
      </c>
      <c r="X75" s="43"/>
      <c r="Y75" s="43"/>
      <c r="Z75" s="43"/>
      <c r="AA75" s="43">
        <v>11702.754999999999</v>
      </c>
      <c r="AB75" s="43"/>
      <c r="AC75" s="43">
        <v>6.899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13507.611999999999</v>
      </c>
      <c r="X76" s="43"/>
      <c r="Y76" s="43"/>
      <c r="Z76" s="43"/>
      <c r="AA76" s="43">
        <v>14831.999</v>
      </c>
      <c r="AB76" s="43"/>
      <c r="AC76" s="43">
        <v>8.5719999999999992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7.5960000000000001</v>
      </c>
      <c r="S77" s="43"/>
      <c r="U77" s="49" t="s">
        <v>48</v>
      </c>
      <c r="V77" s="51"/>
      <c r="W77" s="43">
        <v>2758.97</v>
      </c>
      <c r="X77" s="43"/>
      <c r="Y77" s="43">
        <v>0</v>
      </c>
      <c r="Z77" s="43"/>
      <c r="AA77" s="43">
        <v>3129.2440000000001</v>
      </c>
      <c r="AB77" s="43"/>
      <c r="AC77" s="43">
        <v>1.673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2773.375</v>
      </c>
      <c r="X78" s="43"/>
      <c r="Y78" s="43">
        <f>AH71</f>
        <v>0</v>
      </c>
      <c r="Z78" s="43"/>
      <c r="AA78" s="43">
        <v>3145.3119999999999</v>
      </c>
      <c r="AB78" s="43"/>
      <c r="AC78" s="43">
        <v>1.673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-14.4050000000002</v>
      </c>
      <c r="X79" s="43"/>
      <c r="Y79" s="43">
        <f>Y77-Y78</f>
        <v>0</v>
      </c>
      <c r="Z79" s="43"/>
      <c r="AA79" s="43">
        <v>-16.068000000000001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-5.2211513717076302E-3</v>
      </c>
      <c r="X80" s="52"/>
      <c r="Y80" s="52">
        <f>IF(Y77&gt;0,Y79/Y77,0)</f>
        <v>0</v>
      </c>
      <c r="Z80" s="52"/>
      <c r="AA80" s="48">
        <v>-5.0000000000000001E-3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2026-02-13T11:24:08Z</dcterms:modified>
</cp:coreProperties>
</file>