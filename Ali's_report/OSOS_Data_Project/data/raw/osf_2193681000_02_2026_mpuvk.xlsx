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FFD87A04-F792-4B25-83DC-A8CE86FAE5D0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2" i="3" s="1"/>
  <c r="W78" i="3" s="1"/>
  <c r="W79" i="3" s="1"/>
  <c r="W80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H71" i="3" s="1"/>
  <c r="Y78" i="3" s="1"/>
  <c r="Y79" i="3" s="1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<sst xmlns="http://schemas.openxmlformats.org/spreadsheetml/2006/main" count="144" uniqueCount="82">
  <si>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</si>
  <si>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</si>
  <si>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</si>
  <si>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</si>
  <si>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</si>
  <si>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</si>
  <si>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</si>
  <si>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</si>
  <si>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</si>
  <si>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</si>
  <si>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</si>
  <si>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</si>
  <si>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</si>
  <si>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</si>
  <si>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</si>
  <si>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</si>
  <si>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</si>
  <si>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</si>
  <si>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</si>
  <si>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</si>
  <si>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</si>
  <si>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</si>
  <si>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</si>
  <si>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</si>
  <si>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</si>
  <si>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</si>
  <si>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</si>
  <si>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</si>
  <si>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</si>
  <si>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</si>
  <si>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</si>
  <si>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</si>
  <si>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</si>
  <si>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</si>
  <si>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</si>
  <si>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</si>
  <si>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</si>
  <si>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</si>
  <si>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</si>
  <si>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</si>
  <si>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</si>
  <si>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</si>
  <si>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</si>
  <si>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</si>
  <si>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</si>
  <si>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</si>
  <si>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</si>
  <si>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</si>
  <si>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</si>
  <si>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</si>
  <si>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</si>
  <si>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</si>
  <si>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</si>
  <si>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</si>
  <si>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</si>
  <si>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</si>
  <si>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</si>
  <si>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</si>
  <si>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</si>
  <si>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</si>
  <si>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</si>
  <si>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</si>
  <si>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</si>
  <si>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</si>
  <si>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</si>
  <si>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</si>
  <si>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</si>
  <si>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</si>
  <si>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</si>
  <si>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</si>
  <si>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</si>
  <si>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</si>
  <si>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</si>
  <si>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</si>
  <si>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</si>
  <si>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</si>
  <si>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</si>
  <si>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</si>
  <si>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</si>
  <si>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02/2026</t>
  </si>
  <si>
    <t>Cadde-Sokak</t>
  </si>
  <si>
    <t>08/02/2026 04:59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</si>
</sst>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7.2359999999999998</v>
      </c>
      <c r="D24" s="21">
        <v>6.98</v>
      </c>
      <c r="E24" s="21">
        <v>7.2679999999999998</v>
      </c>
      <c r="F24" s="21">
        <v>7.2329999999999997</v>
      </c>
      <c r="G24" s="21">
        <v>7.2140000000000004</v>
      </c>
      <c r="H24" s="21">
        <v>7.282</v>
      </c>
      <c r="I24" s="21">
        <v>7.2679999999999998</v>
      </c>
      <c r="J24" s="21">
        <v>7.391</v>
      </c>
      <c r="K24" s="21">
        <v>7.3979999999999997</v>
      </c>
      <c r="L24" s="21">
        <v>7.3019999999999996</v>
      </c>
      <c r="M24" s="21">
        <v>7.3259999999999996</v>
      </c>
      <c r="N24" s="21">
        <v>7.2869999999999999</v>
      </c>
      <c r="O24" s="21">
        <v>7.3390000000000004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19">
        <f t="shared" ref="AH24:AH70" si="0">SUM(C24:AG24)</f>
        <v>94.524000000000001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7.4059999999999997</v>
      </c>
      <c r="D26" s="21">
        <v>7.06</v>
      </c>
      <c r="E26" s="21">
        <v>7.3159999999999998</v>
      </c>
      <c r="F26" s="21">
        <v>7.29</v>
      </c>
      <c r="G26" s="21">
        <v>7.266</v>
      </c>
      <c r="H26" s="21">
        <v>7.3250000000000002</v>
      </c>
      <c r="I26" s="21">
        <v>7.4290000000000003</v>
      </c>
      <c r="J26" s="21">
        <v>7.4340000000000002</v>
      </c>
      <c r="K26" s="21">
        <v>7.3929999999999998</v>
      </c>
      <c r="L26" s="21">
        <v>7.3520000000000003</v>
      </c>
      <c r="M26" s="21">
        <v>7.3869999999999996</v>
      </c>
      <c r="N26" s="21">
        <v>7.3760000000000003</v>
      </c>
      <c r="O26" s="21">
        <v>7.31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19">
        <f t="shared" si="0"/>
        <v>95.344000000000008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7.3929999999999998</v>
      </c>
      <c r="D28" s="21">
        <v>7.06</v>
      </c>
      <c r="E28" s="21">
        <v>7.3380000000000001</v>
      </c>
      <c r="F28" s="21">
        <v>7.33</v>
      </c>
      <c r="G28" s="21">
        <v>7.3040000000000003</v>
      </c>
      <c r="H28" s="21">
        <v>7.2969999999999997</v>
      </c>
      <c r="I28" s="21">
        <v>7.4390000000000001</v>
      </c>
      <c r="J28" s="21">
        <v>7.5090000000000003</v>
      </c>
      <c r="K28" s="21">
        <v>7.4630000000000001</v>
      </c>
      <c r="L28" s="21">
        <v>7.4130000000000003</v>
      </c>
      <c r="M28" s="21">
        <v>7.4530000000000003</v>
      </c>
      <c r="N28" s="21">
        <v>7.46</v>
      </c>
      <c r="O28" s="21">
        <v>7.3860000000000001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19">
        <f t="shared" si="0"/>
        <v>95.844999999999985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7.4560000000000004</v>
      </c>
      <c r="D30" s="21">
        <v>7.1189999999999998</v>
      </c>
      <c r="E30" s="21">
        <v>7.3449999999999998</v>
      </c>
      <c r="F30" s="21">
        <v>7.3869999999999996</v>
      </c>
      <c r="G30" s="21">
        <v>7.351</v>
      </c>
      <c r="H30" s="21">
        <v>7.3390000000000004</v>
      </c>
      <c r="I30" s="21">
        <v>7.3949999999999996</v>
      </c>
      <c r="J30" s="21">
        <v>7.5179999999999998</v>
      </c>
      <c r="K30" s="21">
        <v>7.4589999999999996</v>
      </c>
      <c r="L30" s="21">
        <v>7.4370000000000003</v>
      </c>
      <c r="M30" s="21">
        <v>7.4960000000000004</v>
      </c>
      <c r="N30" s="21">
        <v>7.4660000000000002</v>
      </c>
      <c r="O30" s="21">
        <v>7.4649999999999999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19">
        <f t="shared" si="0"/>
        <v>96.23299999999999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7.4809999999999999</v>
      </c>
      <c r="D32" s="21">
        <v>7.1349999999999998</v>
      </c>
      <c r="E32" s="21">
        <v>7.3730000000000002</v>
      </c>
      <c r="F32" s="21">
        <v>7.4109999999999996</v>
      </c>
      <c r="G32" s="21">
        <v>7.3550000000000004</v>
      </c>
      <c r="H32" s="21">
        <v>7.3760000000000003</v>
      </c>
      <c r="I32" s="21">
        <v>7.4370000000000003</v>
      </c>
      <c r="J32" s="21">
        <v>7.5750000000000002</v>
      </c>
      <c r="K32" s="21">
        <v>7.4729999999999999</v>
      </c>
      <c r="L32" s="21">
        <v>7.4470000000000001</v>
      </c>
      <c r="M32" s="21">
        <v>7.53</v>
      </c>
      <c r="N32" s="21">
        <v>7.47</v>
      </c>
      <c r="O32" s="21">
        <v>7.5030000000000001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19">
        <f t="shared" si="0"/>
        <v>96.566000000000003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7.242</v>
      </c>
      <c r="D34" s="21">
        <v>7.0620000000000003</v>
      </c>
      <c r="E34" s="21">
        <v>7.3339999999999996</v>
      </c>
      <c r="F34" s="21">
        <v>7.367</v>
      </c>
      <c r="G34" s="21">
        <v>7.327</v>
      </c>
      <c r="H34" s="21">
        <v>7.3449999999999998</v>
      </c>
      <c r="I34" s="21">
        <v>7.399</v>
      </c>
      <c r="J34" s="21">
        <v>7.5640000000000001</v>
      </c>
      <c r="K34" s="21">
        <v>7.4379999999999997</v>
      </c>
      <c r="L34" s="21">
        <v>7.4109999999999996</v>
      </c>
      <c r="M34" s="21">
        <v>7.4989999999999997</v>
      </c>
      <c r="N34" s="21">
        <v>7.431</v>
      </c>
      <c r="O34" s="21">
        <v>7.4459999999999997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19">
        <f t="shared" si="0"/>
        <v>95.864999999999995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7.15</v>
      </c>
      <c r="D36" s="21">
        <v>7.016</v>
      </c>
      <c r="E36" s="21">
        <v>7.2750000000000004</v>
      </c>
      <c r="F36" s="21">
        <v>7.2969999999999997</v>
      </c>
      <c r="G36" s="21">
        <v>7.2839999999999998</v>
      </c>
      <c r="H36" s="21">
        <v>7.3150000000000004</v>
      </c>
      <c r="I36" s="21">
        <v>7.4039999999999999</v>
      </c>
      <c r="J36" s="21">
        <v>7.577</v>
      </c>
      <c r="K36" s="21">
        <v>7.3630000000000004</v>
      </c>
      <c r="L36" s="21">
        <v>7.3630000000000004</v>
      </c>
      <c r="M36" s="21">
        <v>7.4340000000000002</v>
      </c>
      <c r="N36" s="21">
        <v>7.3940000000000001</v>
      </c>
      <c r="O36" s="21">
        <v>7.3579999999999997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19">
        <f t="shared" si="0"/>
        <v>95.23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6.016</v>
      </c>
      <c r="D38" s="21">
        <v>5.7610000000000001</v>
      </c>
      <c r="E38" s="21">
        <v>5.8129999999999997</v>
      </c>
      <c r="F38" s="21">
        <v>5.7309999999999999</v>
      </c>
      <c r="G38" s="21">
        <v>5.5419999999999998</v>
      </c>
      <c r="H38" s="21">
        <v>5.452</v>
      </c>
      <c r="I38" s="21">
        <v>5.29</v>
      </c>
      <c r="J38" s="21">
        <v>5.319</v>
      </c>
      <c r="K38" s="21">
        <v>5.0469999999999997</v>
      </c>
      <c r="L38" s="21">
        <v>4.8609999999999998</v>
      </c>
      <c r="M38" s="21">
        <v>4.8140000000000001</v>
      </c>
      <c r="N38" s="21">
        <v>4.6050000000000004</v>
      </c>
      <c r="O38" s="21">
        <v>4.4340000000000002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19">
        <f t="shared" si="0"/>
        <v>68.684999999999988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1E-3</v>
      </c>
      <c r="D40" s="21">
        <v>0</v>
      </c>
      <c r="E40" s="21">
        <v>1E-3</v>
      </c>
      <c r="F40" s="21">
        <v>0</v>
      </c>
      <c r="G40" s="21">
        <v>0</v>
      </c>
      <c r="H40" s="21">
        <v>0</v>
      </c>
      <c r="I40" s="21">
        <v>1E-3</v>
      </c>
      <c r="J40" s="21">
        <v>0</v>
      </c>
      <c r="K40" s="21">
        <v>0</v>
      </c>
      <c r="L40" s="21">
        <v>1E-3</v>
      </c>
      <c r="M40" s="21">
        <v>0</v>
      </c>
      <c r="N40" s="21">
        <v>1E-3</v>
      </c>
      <c r="O40" s="21">
        <v>1E-3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19">
        <f t="shared" si="0"/>
        <v>6.0000000000000001E-3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0</v>
      </c>
      <c r="D42" s="21">
        <v>1E-3</v>
      </c>
      <c r="E42" s="21">
        <v>0</v>
      </c>
      <c r="F42" s="21">
        <v>1E-3</v>
      </c>
      <c r="G42" s="21">
        <v>1E-3</v>
      </c>
      <c r="H42" s="21">
        <v>1E-3</v>
      </c>
      <c r="I42" s="21">
        <v>0</v>
      </c>
      <c r="J42" s="21">
        <v>1E-3</v>
      </c>
      <c r="K42" s="21">
        <v>1E-3</v>
      </c>
      <c r="L42" s="21">
        <v>0</v>
      </c>
      <c r="M42" s="21">
        <v>1E-3</v>
      </c>
      <c r="N42" s="21">
        <v>0</v>
      </c>
      <c r="O42" s="21">
        <v>0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19">
        <f t="shared" si="0"/>
        <v>7.0000000000000001E-3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1E-3</v>
      </c>
      <c r="D44" s="21">
        <v>0</v>
      </c>
      <c r="E44" s="21">
        <v>1E-3</v>
      </c>
      <c r="F44" s="21">
        <v>0</v>
      </c>
      <c r="G44" s="21">
        <v>0</v>
      </c>
      <c r="H44" s="21">
        <v>0</v>
      </c>
      <c r="I44" s="21">
        <v>1E-3</v>
      </c>
      <c r="J44" s="21">
        <v>0</v>
      </c>
      <c r="K44" s="21">
        <v>0</v>
      </c>
      <c r="L44" s="21">
        <v>1E-3</v>
      </c>
      <c r="M44" s="21">
        <v>0</v>
      </c>
      <c r="N44" s="21">
        <v>1E-3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19">
        <f t="shared" si="0"/>
        <v>5.0000000000000001E-3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0</v>
      </c>
      <c r="D46" s="21">
        <v>0</v>
      </c>
      <c r="E46" s="21">
        <v>0</v>
      </c>
      <c r="F46" s="21">
        <v>1E-3</v>
      </c>
      <c r="G46" s="21">
        <v>1E-3</v>
      </c>
      <c r="H46" s="21">
        <v>1E-3</v>
      </c>
      <c r="I46" s="21">
        <v>0</v>
      </c>
      <c r="J46" s="21">
        <v>1E-3</v>
      </c>
      <c r="K46" s="21">
        <v>1E-3</v>
      </c>
      <c r="L46" s="21">
        <v>0</v>
      </c>
      <c r="M46" s="21">
        <v>1E-3</v>
      </c>
      <c r="N46" s="21">
        <v>0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19">
        <f t="shared" si="0"/>
        <v>6.0000000000000001E-3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1E-3</v>
      </c>
      <c r="D48" s="21">
        <v>1E-3</v>
      </c>
      <c r="E48" s="21">
        <v>1E-3</v>
      </c>
      <c r="F48" s="21">
        <v>0</v>
      </c>
      <c r="G48" s="21">
        <v>0</v>
      </c>
      <c r="H48" s="21">
        <v>0</v>
      </c>
      <c r="I48" s="21">
        <v>1E-3</v>
      </c>
      <c r="J48" s="21">
        <v>0</v>
      </c>
      <c r="K48" s="21">
        <v>0</v>
      </c>
      <c r="L48" s="21">
        <v>0</v>
      </c>
      <c r="M48" s="21">
        <v>0</v>
      </c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19">
        <f t="shared" si="0"/>
        <v>4.0000000000000001E-3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0</v>
      </c>
      <c r="D50" s="21">
        <v>0</v>
      </c>
      <c r="E50" s="21">
        <v>0</v>
      </c>
      <c r="F50" s="21">
        <v>1E-3</v>
      </c>
      <c r="G50" s="21">
        <v>1E-3</v>
      </c>
      <c r="H50" s="21">
        <v>1E-3</v>
      </c>
      <c r="I50" s="21">
        <v>0</v>
      </c>
      <c r="J50" s="21">
        <v>1E-3</v>
      </c>
      <c r="K50" s="21">
        <v>1E-3</v>
      </c>
      <c r="L50" s="21">
        <v>1E-3</v>
      </c>
      <c r="M50" s="21">
        <v>0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19">
        <f t="shared" si="0"/>
        <v>6.0000000000000001E-3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1E-3</v>
      </c>
      <c r="D52" s="21">
        <v>1E-3</v>
      </c>
      <c r="E52" s="21">
        <v>1E-3</v>
      </c>
      <c r="F52" s="21">
        <v>0</v>
      </c>
      <c r="G52" s="21">
        <v>0</v>
      </c>
      <c r="H52" s="21">
        <v>0</v>
      </c>
      <c r="I52" s="21">
        <v>1E-3</v>
      </c>
      <c r="J52" s="21">
        <v>0</v>
      </c>
      <c r="K52" s="21">
        <v>0</v>
      </c>
      <c r="L52" s="21">
        <v>0</v>
      </c>
      <c r="M52" s="21">
        <v>1E-3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19">
        <f t="shared" si="0"/>
        <v>5.0000000000000001E-3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0</v>
      </c>
      <c r="D54" s="21">
        <v>0</v>
      </c>
      <c r="E54" s="21">
        <v>0</v>
      </c>
      <c r="F54" s="21">
        <v>1E-3</v>
      </c>
      <c r="G54" s="21">
        <v>1E-3</v>
      </c>
      <c r="H54" s="21">
        <v>1E-3</v>
      </c>
      <c r="I54" s="21">
        <v>0</v>
      </c>
      <c r="J54" s="21">
        <v>1E-3</v>
      </c>
      <c r="K54" s="21">
        <v>1E-3</v>
      </c>
      <c r="L54" s="21">
        <v>1E-3</v>
      </c>
      <c r="M54" s="21">
        <v>0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19">
        <f t="shared" si="0"/>
        <v>6.0000000000000001E-3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1E-3</v>
      </c>
      <c r="D56" s="21">
        <v>1E-3</v>
      </c>
      <c r="E56" s="21">
        <v>1E-3</v>
      </c>
      <c r="F56" s="21">
        <v>0</v>
      </c>
      <c r="G56" s="21">
        <v>0</v>
      </c>
      <c r="H56" s="21">
        <v>0</v>
      </c>
      <c r="I56" s="21">
        <v>1E-3</v>
      </c>
      <c r="J56" s="21">
        <v>0</v>
      </c>
      <c r="K56" s="21">
        <v>0</v>
      </c>
      <c r="L56" s="21">
        <v>0</v>
      </c>
      <c r="M56" s="21">
        <v>1E-3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19">
        <f t="shared" si="0"/>
        <v>5.0000000000000001E-3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0.34300000000000003</v>
      </c>
      <c r="D58" s="21">
        <v>0.23499999999999999</v>
      </c>
      <c r="E58" s="21">
        <v>0.13500000000000001</v>
      </c>
      <c r="F58" s="21">
        <v>0.05</v>
      </c>
      <c r="G58" s="21">
        <v>1E-3</v>
      </c>
      <c r="H58" s="21">
        <v>0</v>
      </c>
      <c r="I58" s="21">
        <v>0</v>
      </c>
      <c r="J58" s="21">
        <v>1E-3</v>
      </c>
      <c r="K58" s="21">
        <v>1E-3</v>
      </c>
      <c r="L58" s="21">
        <v>1E-3</v>
      </c>
      <c r="M58" s="21">
        <v>0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19">
        <f t="shared" si="0"/>
        <v>0.76700000000000013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6.9290000000000003</v>
      </c>
      <c r="D60" s="21">
        <v>6.9729999999999999</v>
      </c>
      <c r="E60" s="21">
        <v>6.9420000000000002</v>
      </c>
      <c r="F60" s="21">
        <v>6.883</v>
      </c>
      <c r="G60" s="21">
        <v>6.673</v>
      </c>
      <c r="H60" s="21">
        <v>6.7880000000000003</v>
      </c>
      <c r="I60" s="21">
        <v>6.6660000000000004</v>
      </c>
      <c r="J60" s="21">
        <v>6.4340000000000002</v>
      </c>
      <c r="K60" s="21">
        <v>6.1520000000000001</v>
      </c>
      <c r="L60" s="21">
        <v>6.1159999999999997</v>
      </c>
      <c r="M60" s="21">
        <v>6.0380000000000003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19">
        <f t="shared" si="0"/>
        <v>72.593999999999994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7.0229999999999997</v>
      </c>
      <c r="D62" s="21">
        <v>7.07</v>
      </c>
      <c r="E62" s="21">
        <v>6.9829999999999997</v>
      </c>
      <c r="F62" s="21">
        <v>6.9779999999999998</v>
      </c>
      <c r="G62" s="21">
        <v>7.0110000000000001</v>
      </c>
      <c r="H62" s="21">
        <v>7.1989999999999998</v>
      </c>
      <c r="I62" s="21">
        <v>7.2169999999999996</v>
      </c>
      <c r="J62" s="21">
        <v>7.0949999999999998</v>
      </c>
      <c r="K62" s="21">
        <v>7.0810000000000004</v>
      </c>
      <c r="L62" s="21">
        <v>7.0670000000000002</v>
      </c>
      <c r="M62" s="21">
        <v>7.06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19">
        <f t="shared" si="0"/>
        <v>77.784000000000006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6.91</v>
      </c>
      <c r="D64" s="21">
        <v>7.0380000000000003</v>
      </c>
      <c r="E64" s="21">
        <v>7.0650000000000004</v>
      </c>
      <c r="F64" s="21">
        <v>7.0019999999999998</v>
      </c>
      <c r="G64" s="21">
        <v>7.0670000000000002</v>
      </c>
      <c r="H64" s="21">
        <v>7.2190000000000003</v>
      </c>
      <c r="I64" s="21">
        <v>7.2640000000000002</v>
      </c>
      <c r="J64" s="21">
        <v>7.21</v>
      </c>
      <c r="K64" s="21">
        <v>7.1929999999999996</v>
      </c>
      <c r="L64" s="21">
        <v>7.1740000000000004</v>
      </c>
      <c r="M64" s="21">
        <v>7.0830000000000002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19">
        <f t="shared" si="0"/>
        <v>78.225000000000009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6.7859999999999996</v>
      </c>
      <c r="D66" s="21">
        <v>7.0670000000000002</v>
      </c>
      <c r="E66" s="21">
        <v>7.0819999999999999</v>
      </c>
      <c r="F66" s="21">
        <v>7.0270000000000001</v>
      </c>
      <c r="G66" s="21">
        <v>7.1429999999999998</v>
      </c>
      <c r="H66" s="21">
        <v>7.2409999999999997</v>
      </c>
      <c r="I66" s="21">
        <v>7.2779999999999996</v>
      </c>
      <c r="J66" s="21">
        <v>7.234</v>
      </c>
      <c r="K66" s="21">
        <v>7.2380000000000004</v>
      </c>
      <c r="L66" s="21">
        <v>7.21</v>
      </c>
      <c r="M66" s="21">
        <v>7.1459999999999999</v>
      </c>
      <c r="N66" s="21">
        <v>5.4130000000000003</v>
      </c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19">
        <f t="shared" si="0"/>
        <v>83.864999999999995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6.8520000000000003</v>
      </c>
      <c r="D68" s="21">
        <v>7.1260000000000003</v>
      </c>
      <c r="E68" s="21">
        <v>7.1559999999999997</v>
      </c>
      <c r="F68" s="21">
        <v>7.0670000000000002</v>
      </c>
      <c r="G68" s="21">
        <v>7.157</v>
      </c>
      <c r="H68" s="21">
        <v>7.2510000000000003</v>
      </c>
      <c r="I68" s="21">
        <v>7.306</v>
      </c>
      <c r="J68" s="21">
        <v>7.32</v>
      </c>
      <c r="K68" s="21">
        <v>7.1890000000000001</v>
      </c>
      <c r="L68" s="21">
        <v>7.2809999999999997</v>
      </c>
      <c r="M68" s="21">
        <v>7.2080000000000002</v>
      </c>
      <c r="N68" s="21">
        <v>7.33</v>
      </c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19">
        <f t="shared" si="0"/>
        <v>86.243000000000009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6.9950000000000001</v>
      </c>
      <c r="D70" s="21">
        <v>7.2329999999999997</v>
      </c>
      <c r="E70" s="21">
        <v>7.2549999999999999</v>
      </c>
      <c r="F70" s="21">
        <v>7.1589999999999998</v>
      </c>
      <c r="G70" s="21">
        <v>7.2110000000000003</v>
      </c>
      <c r="H70" s="21">
        <v>7.2729999999999997</v>
      </c>
      <c r="I70" s="21">
        <v>7.3280000000000003</v>
      </c>
      <c r="J70" s="21">
        <v>7.3220000000000001</v>
      </c>
      <c r="K70" s="21">
        <v>7.2640000000000002</v>
      </c>
      <c r="L70" s="21">
        <v>7.2779999999999996</v>
      </c>
      <c r="M70" s="21">
        <v>7.3</v>
      </c>
      <c r="N70" s="21">
        <v>7.3369999999999997</v>
      </c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19">
        <f t="shared" si="0"/>
        <v>86.955000000000013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99.222999999999985</v>
      </c>
      <c r="D72" s="19">
        <f t="shared" ref="D72:AG72" si="2">SUM(D24,D26,D28,D30,D32,D34,D36,D38,D40,D42,D44,D46,D48,D50,D52,D54,D56,D58,D60,D62,D64,D66,D68,D70)</f>
        <v>97.938999999999993</v>
      </c>
      <c r="E72" s="19">
        <f t="shared" si="2"/>
        <v>99.684999999999988</v>
      </c>
      <c r="F72" s="19">
        <f t="shared" si="2"/>
        <v>99.215999999999994</v>
      </c>
      <c r="G72" s="19">
        <f t="shared" si="2"/>
        <v>98.909999999999968</v>
      </c>
      <c r="H72" s="19">
        <f t="shared" si="2"/>
        <v>99.705999999999975</v>
      </c>
      <c r="I72" s="19">
        <f t="shared" si="2"/>
        <v>100.12499999999999</v>
      </c>
      <c r="J72" s="19">
        <f t="shared" si="2"/>
        <v>100.50699999999998</v>
      </c>
      <c r="K72" s="19">
        <f t="shared" si="2"/>
        <v>99.155999999999992</v>
      </c>
      <c r="L72" s="19">
        <f t="shared" si="2"/>
        <v>98.716999999999999</v>
      </c>
      <c r="M72" s="19">
        <f t="shared" si="2"/>
        <v>98.777999999999992</v>
      </c>
      <c r="N72" s="19">
        <f t="shared" si="2"/>
        <v>76.570999999999998</v>
      </c>
      <c r="O72" s="19">
        <f t="shared" si="2"/>
        <v>56.24199999999999</v>
      </c>
      <c r="P72" s="19">
        <f t="shared" si="2"/>
        <v>0</v>
      </c>
      <c r="Q72" s="19">
        <f t="shared" si="2"/>
        <v>0</v>
      </c>
      <c r="R72" s="19">
        <f t="shared" si="2"/>
        <v>0</v>
      </c>
      <c r="S72" s="19">
        <f t="shared" si="2"/>
        <v>0</v>
      </c>
      <c r="T72" s="19">
        <f t="shared" si="2"/>
        <v>0</v>
      </c>
      <c r="U72" s="19">
        <f t="shared" si="2"/>
        <v>0</v>
      </c>
      <c r="V72" s="19">
        <f t="shared" si="2"/>
        <v>0</v>
      </c>
      <c r="W72" s="19">
        <f t="shared" si="2"/>
        <v>0</v>
      </c>
      <c r="X72" s="19">
        <f t="shared" si="2"/>
        <v>0</v>
      </c>
      <c r="Y72" s="19">
        <f t="shared" si="2"/>
        <v>0</v>
      </c>
      <c r="Z72" s="19">
        <f t="shared" si="2"/>
        <v>0</v>
      </c>
      <c r="AA72" s="19">
        <f t="shared" si="2"/>
        <v>0</v>
      </c>
      <c r="AB72" s="19">
        <f t="shared" si="2"/>
        <v>0</v>
      </c>
      <c r="AC72" s="19">
        <f t="shared" si="2"/>
        <v>0</v>
      </c>
      <c r="AD72" s="19">
        <f t="shared" si="2"/>
        <v>0</v>
      </c>
      <c r="AE72" s="19">
        <f t="shared" si="2"/>
        <v>0</v>
      </c>
      <c r="AF72" s="19">
        <f t="shared" si="2"/>
        <v>0</v>
      </c>
      <c r="AG72" s="19">
        <f t="shared" si="2"/>
        <v>0</v>
      </c>
      <c r="AH72" s="19">
        <f>SUM(C72:AG72)</f>
        <v>1224.7749999999996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13522.018</v>
      </c>
      <c r="X75" s="43"/>
      <c r="Y75" s="43"/>
      <c r="Z75" s="43"/>
      <c r="AA75" s="43">
        <v>14848.067999999999</v>
      </c>
      <c r="AB75" s="43"/>
      <c r="AC75" s="43">
        <v>8.5719999999999992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14768.557000000001</v>
      </c>
      <c r="X76" s="43"/>
      <c r="Y76" s="43"/>
      <c r="Z76" s="43"/>
      <c r="AA76" s="43">
        <v>16230.196</v>
      </c>
      <c r="AB76" s="43"/>
      <c r="AC76" s="43">
        <v>9.1639999999999997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7.5919999999999996</v>
      </c>
      <c r="S77" s="43"/>
      <c r="U77" s="49" t="s">
        <v>48</v>
      </c>
      <c r="V77" s="51"/>
      <c r="W77" s="43">
        <v>1246.539</v>
      </c>
      <c r="X77" s="43"/>
      <c r="Y77" s="43">
        <v>0</v>
      </c>
      <c r="Z77" s="43"/>
      <c r="AA77" s="43">
        <v>1382.1279999999999</v>
      </c>
      <c r="AB77" s="43"/>
      <c r="AC77" s="43">
        <v>0.59199999999999997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1224.7749999999996</v>
      </c>
      <c r="X78" s="43"/>
      <c r="Y78" s="43">
        <f>AH71</f>
        <v>0</v>
      </c>
      <c r="Z78" s="43"/>
      <c r="AA78" s="43">
        <v>1357.278</v>
      </c>
      <c r="AB78" s="43"/>
      <c r="AC78" s="43">
        <v>0.56699999999999995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21.764000000000351</v>
      </c>
      <c r="X79" s="43"/>
      <c r="Y79" s="43">
        <f>Y77-Y78</f>
        <v>0</v>
      </c>
      <c r="Z79" s="43"/>
      <c r="AA79" s="43">
        <v>24.85</v>
      </c>
      <c r="AB79" s="43"/>
      <c r="AC79" s="43">
        <v>2.5000000000000001E-2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1.7459541979834046E-2</v>
      </c>
      <c r="X80" s="52"/>
      <c r="Y80" s="52">
        <f>IF(Y77&gt;0,Y79/Y77,0)</f>
        <v>0</v>
      </c>
      <c r="Z80" s="52"/>
      <c r="AA80" s="48">
        <v>1.7999999999999999E-2</v>
      </c>
      <c r="AB80" s="48"/>
      <c r="AC80" s="48">
        <v>4.2000000000000003E-2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2026-02-13T11:23:46Z</dcterms:modified>
</cp:coreProperties>
</file>