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Data\hasanbera.dalca\Desktop\Yeni klasör\"/>
    </mc:Choice>
  </mc:AlternateContent>
  <xr:revisionPtr revIDLastSave="0" documentId="8_{DD5C0614-DB05-4C7B-B11A-DE661CFD75AC}" xr6:coauthVersionLast="36" xr6:coauthVersionMax="36" xr10:uidLastSave="{00000000-0000-0000-0000-000000000000}"/>
  <bookViews>
    <workbookView xWindow="0" yWindow="0" windowWidth="28800" windowHeight="11940" xr2:uid="{DBB67B82-6D7A-4A35-853B-B4B2C0577BFA}"/>
  </bookViews>
  <sheets>
    <sheet name="2193681000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80" i="3" l="1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AH72" i="3" s="1"/>
  <c r="W78" i="3" s="1"/>
  <c r="W79" i="3" s="1"/>
  <c r="W80" i="3" s="1"/>
  <c r="I72" i="3"/>
  <c r="H72" i="3"/>
  <c r="G72" i="3"/>
  <c r="F72" i="3"/>
  <c r="E72" i="3"/>
  <c r="D72" i="3"/>
  <c r="C72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AH71" i="3" s="1"/>
  <c r="Y78" i="3" s="1"/>
  <c r="Y79" i="3" s="1"/>
  <c r="E71" i="3"/>
  <c r="D71" i="3"/>
  <c r="C71" i="3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</calcChain>
</file>

<file path=xl/sharedStrings.xml><?xml version="1.0" encoding="utf-8"?>
<sst xmlns="http://schemas.openxmlformats.org/spreadsheetml/2006/main" count="144" uniqueCount="82">
  <si>
    <t>FORM NO:  OSF.07.02</t>
  </si>
  <si>
    <t>DENGELEME BİRİMİ SAYAÇ DEĞERLERİ FORMU</t>
  </si>
  <si>
    <t>(Sanal Uygulama İçin Ön Taslak)</t>
  </si>
  <si>
    <t>Ölçüm Sistemi Bilgileri</t>
  </si>
  <si>
    <t>Sayaç Kodu :</t>
  </si>
  <si>
    <t>Sayaç Seri No :</t>
  </si>
  <si>
    <t xml:space="preserve">Sayaçlardan </t>
  </si>
  <si>
    <t>İletim Şirketi</t>
  </si>
  <si>
    <t>Sorumlu Kurum :</t>
  </si>
  <si>
    <t>Dağıtım Şirketi</t>
  </si>
  <si>
    <t>Sayaç Adı:</t>
  </si>
  <si>
    <t>UEVÇB Kodu</t>
  </si>
  <si>
    <t>Referans :</t>
  </si>
  <si>
    <t>Uzlaştırma Dönemi :</t>
  </si>
  <si>
    <t>Aktif Enerji Değerleri (kWh)</t>
  </si>
  <si>
    <t>Saat/Gün</t>
  </si>
  <si>
    <t>Toplam</t>
  </si>
  <si>
    <t>00-01</t>
  </si>
  <si>
    <t>Veriş</t>
  </si>
  <si>
    <t>Çekiş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</si>
  <si>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</si>
  <si>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</si>
  <si>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</si>
  <si>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</si>
  <si>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</si>
  <si>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</si>
  <si>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</si>
  <si>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</si>
  <si>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</si>
  <si>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</si>
  <si>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</si>
  <si>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r>
      <t>23.</t>
    </r>
    <r>
      <rPr>
        <vertAlign val="superscript"/>
        <sz val="8"/>
        <rFont val="Verdana"/>
        <family val="2"/>
        <charset val="162"/>
      </rPr>
      <t>00</t>
    </r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</si>
  <si>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</si>
  <si>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</si>
  <si>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</si>
  <si>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</si>
  <si>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</si>
  <si>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</si>
  <si>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</si>
  <si>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</si>
  <si>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</si>
  <si>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</si>
  <si>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</si>
  <si>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</si>
  <si>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Yetkili Bilgileri</t>
  </si>
  <si>
    <t>Çarpan</t>
  </si>
  <si>
    <t>Yetkili Adı</t>
  </si>
  <si>
    <t>:</t>
  </si>
  <si>
    <t>Endeks Farkı</t>
  </si>
  <si>
    <t>OSF Toplamı</t>
  </si>
  <si>
    <t>İmza</t>
  </si>
  <si>
    <t>Fark Oranı (%)</t>
  </si>
  <si>
    <t>Tarih</t>
  </si>
  <si>
    <t>13.00</t>
  </si>
  <si>
    <t>15.00</t>
  </si>
  <si>
    <t>17.00</t>
  </si>
  <si>
    <t>19.00</t>
  </si>
  <si>
    <t>21.00</t>
  </si>
  <si>
    <t>23.00</t>
  </si>
  <si>
    <t>03.00</t>
  </si>
  <si>
    <t>05.00</t>
  </si>
  <si>
    <t>07.00</t>
  </si>
  <si>
    <t>09.00</t>
  </si>
  <si>
    <t>11.00</t>
  </si>
  <si>
    <t>Endeks OSF Farkı</t>
  </si>
  <si>
    <t>RI Tüketim</t>
  </si>
  <si>
    <t>RC Tüketim</t>
  </si>
  <si>
    <t>RI Üretim</t>
  </si>
  <si>
    <t>RC Üretim</t>
  </si>
  <si>
    <t>Aktif Tüketim</t>
  </si>
  <si>
    <t>Aktif Üretim</t>
  </si>
  <si>
    <t>İlk Endeks</t>
  </si>
  <si>
    <t>Son Endeks</t>
  </si>
  <si>
    <t>Tüketim Demand</t>
  </si>
  <si>
    <t>Üretim Demand</t>
  </si>
  <si>
    <t>Tüketim Demand T.</t>
  </si>
  <si>
    <t>Üretim Demand T.</t>
  </si>
  <si>
    <t>LUNA</t>
  </si>
  <si>
    <t>2193681000</t>
  </si>
  <si>
    <t>07/2025</t>
  </si>
  <si>
    <t>Cadde-Sokak</t>
  </si>
  <si>
    <t>23/07/2025 04:06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</si>
</sst>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yyyy"/>
    <numFmt numFmtId="165" formatCode="0.000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Verdana"/>
      <family val="2"/>
      <charset val="162"/>
    </font>
    <font>
      <b/>
      <sz val="10"/>
      <name val="Verdana"/>
      <family val="2"/>
      <charset val="162"/>
    </font>
    <font>
      <b/>
      <sz val="10"/>
      <color indexed="9"/>
      <name val="Verdana"/>
      <family val="2"/>
      <charset val="162"/>
    </font>
    <font>
      <b/>
      <sz val="7.5"/>
      <color indexed="9"/>
      <name val="Verdana"/>
      <family val="2"/>
      <charset val="162"/>
    </font>
    <font>
      <b/>
      <sz val="13.5"/>
      <name val="Verdana"/>
      <family val="2"/>
      <charset val="162"/>
    </font>
    <font>
      <b/>
      <i/>
      <sz val="10"/>
      <color indexed="10"/>
      <name val="Verdana"/>
      <family val="2"/>
      <charset val="162"/>
    </font>
    <font>
      <sz val="10"/>
      <name val="Arial Tur"/>
      <family val="2"/>
      <charset val="162"/>
    </font>
    <font>
      <sz val="8"/>
      <name val="Verdana"/>
      <family val="2"/>
      <charset val="162"/>
    </font>
    <font>
      <vertAlign val="superscript"/>
      <sz val="8"/>
      <name val="Verdana"/>
      <family val="2"/>
      <charset val="162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b/>
      <sz val="10"/>
      <color theme="1"/>
      <name val="Verdan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4"/>
        <bgColor indexed="46"/>
      </patternFill>
    </fill>
    <fill>
      <patternFill patternType="solid">
        <fgColor theme="0"/>
        <bgColor indexed="4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9" fillId="0" borderId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left"/>
    </xf>
    <xf numFmtId="0" fontId="3" fillId="0" borderId="0" xfId="2" applyFont="1"/>
    <xf numFmtId="0" fontId="4" fillId="0" borderId="0" xfId="2" applyFont="1" applyAlignment="1">
      <alignment horizontal="left" vertical="top"/>
    </xf>
    <xf numFmtId="0" fontId="4" fillId="0" borderId="0" xfId="2" applyFont="1" applyAlignment="1">
      <alignment vertical="top"/>
    </xf>
    <xf numFmtId="0" fontId="5" fillId="0" borderId="0" xfId="2" applyFont="1" applyAlignment="1">
      <alignment wrapText="1"/>
    </xf>
    <xf numFmtId="0" fontId="6" fillId="0" borderId="0" xfId="2" applyFont="1" applyAlignment="1">
      <alignment wrapText="1"/>
    </xf>
    <xf numFmtId="0" fontId="7" fillId="2" borderId="0" xfId="2" applyFont="1" applyFill="1" applyAlignment="1">
      <alignment horizontal="left" vertical="center"/>
    </xf>
    <xf numFmtId="0" fontId="7" fillId="2" borderId="0" xfId="2" applyFont="1" applyFill="1" applyAlignment="1">
      <alignment vertical="center"/>
    </xf>
    <xf numFmtId="0" fontId="8" fillId="0" borderId="0" xfId="2" applyFont="1" applyAlignment="1">
      <alignment vertical="center"/>
    </xf>
    <xf numFmtId="0" fontId="7" fillId="2" borderId="0" xfId="2" applyFont="1" applyFill="1" applyAlignment="1">
      <alignment horizontal="center" vertical="center"/>
    </xf>
    <xf numFmtId="0" fontId="3" fillId="0" borderId="0" xfId="2" applyFont="1" applyAlignment="1">
      <alignment vertical="center"/>
    </xf>
    <xf numFmtId="0" fontId="3" fillId="0" borderId="1" xfId="2" applyFont="1" applyBorder="1" applyProtection="1">
      <protection locked="0"/>
    </xf>
    <xf numFmtId="0" fontId="3" fillId="0" borderId="0" xfId="2" applyFont="1" applyAlignment="1">
      <alignment horizontal="right" vertical="center"/>
    </xf>
    <xf numFmtId="0" fontId="5" fillId="0" borderId="0" xfId="2" applyFont="1" applyAlignment="1">
      <alignment horizontal="left" vertical="center" wrapText="1"/>
    </xf>
    <xf numFmtId="0" fontId="2" fillId="0" borderId="0" xfId="2" applyAlignment="1">
      <alignment horizontal="left" vertical="center" wrapText="1"/>
    </xf>
    <xf numFmtId="0" fontId="2" fillId="0" borderId="0" xfId="2" applyAlignment="1">
      <alignment vertical="center"/>
    </xf>
    <xf numFmtId="0" fontId="10" fillId="0" borderId="7" xfId="3" applyFont="1" applyBorder="1" applyAlignment="1">
      <alignment vertical="center"/>
    </xf>
    <xf numFmtId="165" fontId="10" fillId="0" borderId="7" xfId="3" applyNumberFormat="1" applyFont="1" applyBorder="1" applyAlignment="1" applyProtection="1">
      <alignment vertical="center"/>
      <protection locked="0"/>
    </xf>
    <xf numFmtId="165" fontId="10" fillId="0" borderId="5" xfId="3" applyNumberFormat="1" applyFont="1" applyBorder="1" applyAlignment="1" applyProtection="1">
      <alignment vertical="center"/>
      <protection locked="0"/>
    </xf>
    <xf numFmtId="0" fontId="10" fillId="0" borderId="8" xfId="3" applyFont="1" applyBorder="1" applyAlignment="1">
      <alignment vertical="center"/>
    </xf>
    <xf numFmtId="165" fontId="10" fillId="0" borderId="8" xfId="3" applyNumberFormat="1" applyFont="1" applyBorder="1" applyAlignment="1" applyProtection="1">
      <alignment vertical="center"/>
      <protection locked="0"/>
    </xf>
    <xf numFmtId="0" fontId="10" fillId="0" borderId="9" xfId="3" applyFont="1" applyBorder="1" applyAlignment="1">
      <alignment vertical="center"/>
    </xf>
    <xf numFmtId="0" fontId="3" fillId="0" borderId="14" xfId="2" applyFont="1" applyBorder="1"/>
    <xf numFmtId="0" fontId="10" fillId="0" borderId="14" xfId="3" applyFont="1" applyBorder="1" applyAlignment="1">
      <alignment vertical="center"/>
    </xf>
    <xf numFmtId="0" fontId="2" fillId="0" borderId="14" xfId="2" applyBorder="1" applyAlignment="1">
      <alignment vertical="center"/>
    </xf>
    <xf numFmtId="0" fontId="5" fillId="3" borderId="1" xfId="2" applyFont="1" applyFill="1" applyBorder="1" applyAlignment="1">
      <alignment horizontal="left" vertical="center" wrapText="1"/>
    </xf>
    <xf numFmtId="49" fontId="3" fillId="0" borderId="1" xfId="2" applyNumberFormat="1" applyFont="1" applyBorder="1" applyAlignment="1" applyProtection="1">
      <alignment horizontal="left" vertical="center"/>
      <protection locked="0"/>
    </xf>
    <xf numFmtId="49" fontId="3" fillId="0" borderId="2" xfId="2" applyNumberFormat="1" applyFont="1" applyBorder="1" applyAlignment="1">
      <alignment horizontal="left" vertical="center"/>
    </xf>
    <xf numFmtId="49" fontId="3" fillId="0" borderId="2" xfId="2" applyNumberFormat="1" applyFont="1" applyBorder="1" applyAlignment="1" applyProtection="1">
      <alignment horizontal="left" vertical="center"/>
      <protection locked="0"/>
    </xf>
    <xf numFmtId="0" fontId="3" fillId="0" borderId="5" xfId="3" applyFont="1" applyBorder="1" applyAlignment="1">
      <alignment horizontal="center" vertical="center"/>
    </xf>
    <xf numFmtId="0" fontId="3" fillId="0" borderId="1" xfId="2" applyFont="1" applyBorder="1" applyAlignment="1" applyProtection="1">
      <alignment horizontal="center"/>
      <protection locked="0"/>
    </xf>
    <xf numFmtId="0" fontId="3" fillId="0" borderId="3" xfId="2" applyFont="1" applyBorder="1" applyAlignment="1">
      <alignment horizontal="right" vertical="center"/>
    </xf>
    <xf numFmtId="0" fontId="3" fillId="0" borderId="0" xfId="2" applyFont="1" applyAlignment="1">
      <alignment horizontal="right" vertical="center"/>
    </xf>
    <xf numFmtId="164" fontId="3" fillId="0" borderId="1" xfId="2" applyNumberFormat="1" applyFont="1" applyBorder="1" applyAlignment="1" applyProtection="1">
      <alignment horizontal="center"/>
      <protection locked="0"/>
    </xf>
    <xf numFmtId="0" fontId="5" fillId="3" borderId="4" xfId="2" applyFont="1" applyFill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/>
    </xf>
    <xf numFmtId="49" fontId="12" fillId="5" borderId="4" xfId="4" applyNumberFormat="1" applyBorder="1" applyAlignment="1">
      <alignment horizontal="center" vertical="center"/>
    </xf>
    <xf numFmtId="49" fontId="12" fillId="5" borderId="6" xfId="4" applyNumberFormat="1" applyBorder="1" applyAlignment="1">
      <alignment horizontal="center" vertical="center"/>
    </xf>
    <xf numFmtId="49" fontId="13" fillId="6" borderId="4" xfId="5" applyNumberFormat="1" applyBorder="1" applyAlignment="1">
      <alignment horizontal="center" vertical="center"/>
    </xf>
    <xf numFmtId="0" fontId="3" fillId="0" borderId="10" xfId="2" applyFont="1" applyBorder="1" applyAlignment="1" applyProtection="1">
      <alignment horizontal="center"/>
      <protection locked="0"/>
    </xf>
    <xf numFmtId="0" fontId="3" fillId="0" borderId="12" xfId="2" applyFont="1" applyBorder="1" applyAlignment="1" applyProtection="1">
      <alignment horizontal="center"/>
      <protection locked="0"/>
    </xf>
    <xf numFmtId="0" fontId="3" fillId="0" borderId="11" xfId="2" applyFont="1" applyBorder="1" applyAlignment="1" applyProtection="1">
      <alignment horizontal="center"/>
      <protection locked="0"/>
    </xf>
    <xf numFmtId="165" fontId="4" fillId="0" borderId="2" xfId="2" applyNumberFormat="1" applyFont="1" applyBorder="1" applyAlignment="1">
      <alignment horizontal="left"/>
    </xf>
    <xf numFmtId="49" fontId="14" fillId="7" borderId="4" xfId="6" applyNumberForma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15" fillId="4" borderId="2" xfId="2" applyFont="1" applyFill="1" applyBorder="1" applyAlignment="1">
      <alignment horizontal="center" vertical="center" wrapText="1"/>
    </xf>
    <xf numFmtId="10" fontId="4" fillId="0" borderId="2" xfId="2" applyNumberFormat="1" applyFont="1" applyBorder="1" applyAlignment="1">
      <alignment horizontal="left"/>
    </xf>
    <xf numFmtId="0" fontId="3" fillId="0" borderId="2" xfId="2" applyFont="1" applyBorder="1" applyAlignment="1">
      <alignment horizontal="left"/>
    </xf>
    <xf numFmtId="0" fontId="4" fillId="0" borderId="2" xfId="2" applyFont="1" applyBorder="1" applyAlignment="1">
      <alignment horizontal="left"/>
    </xf>
    <xf numFmtId="0" fontId="3" fillId="0" borderId="10" xfId="2" applyFont="1" applyBorder="1" applyAlignment="1">
      <alignment horizontal="left"/>
    </xf>
    <xf numFmtId="10" fontId="4" fillId="0" borderId="2" xfId="1" applyNumberFormat="1" applyFont="1" applyBorder="1" applyAlignment="1">
      <alignment horizontal="left"/>
    </xf>
    <xf numFmtId="0" fontId="5" fillId="3" borderId="13" xfId="2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center" vertical="center" wrapText="1"/>
    </xf>
  </cellXfs>
  <cellStyles count="7">
    <cellStyle name="İyi" xfId="4" builtinId="26"/>
    <cellStyle name="Kötü" xfId="5" builtinId="27"/>
    <cellStyle name="Normal" xfId="0" builtinId="0"/>
    <cellStyle name="Normal 2" xfId="2" xr:uid="{79F9106F-1865-408F-A497-687FA55D024F}"/>
    <cellStyle name="Normal_Sayaç-Bilgi-Formu-24,09,03" xfId="3" xr:uid="{93E2BD8D-DF69-40CB-8D2E-F3ECAF548A2B}"/>
    <cellStyle name="Nötr" xfId="6" builtinId="28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1531-AD34-450F-87D9-D68F873EBC3A}">
  <sheetPr>
    <pageSetUpPr fitToPage="1"/>
  </sheetPr>
  <dimension ref="A1:AH81"/>
  <sheetViews>
    <sheetView showGridLines="0" tabSelected="1" view="pageBreakPreview" zoomScaleNormal="100" zoomScaleSheetLayoutView="100" workbookViewId="0">
      <selection activeCell="H13" sqref="H13:O13"/>
    </sheetView>
  </sheetViews>
  <sheetFormatPr defaultRowHeight="15" x14ac:dyDescent="0.25"/>
  <sheetData>
    <row r="1" spans="1:34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5">
      <c r="A2" s="3" t="s">
        <v>0</v>
      </c>
      <c r="B2" s="3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5"/>
      <c r="T2" s="6"/>
      <c r="U2" s="6"/>
      <c r="V2" s="6"/>
      <c r="W2" s="6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17.25" x14ac:dyDescent="0.25">
      <c r="A3" s="7" t="s">
        <v>1</v>
      </c>
      <c r="B3" s="7"/>
      <c r="C3" s="8"/>
      <c r="D3" s="8"/>
      <c r="E3" s="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6"/>
      <c r="U3" s="6"/>
      <c r="V3" s="6"/>
      <c r="W3" s="6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7.25" x14ac:dyDescent="0.25">
      <c r="A4" s="9" t="s">
        <v>2</v>
      </c>
      <c r="B4" s="2"/>
      <c r="C4" s="2"/>
      <c r="D4" s="2"/>
      <c r="E4" s="2"/>
      <c r="F4" s="10"/>
      <c r="G4" s="10"/>
      <c r="H4" s="2"/>
      <c r="I4" s="2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5">
      <c r="A5" s="26" t="s">
        <v>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11"/>
      <c r="AD5" s="11"/>
      <c r="AE5" s="11"/>
      <c r="AF5" s="11"/>
      <c r="AG5" s="11"/>
      <c r="AH5" s="11"/>
    </row>
    <row r="6" spans="1:34" x14ac:dyDescent="0.25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x14ac:dyDescent="0.25">
      <c r="A7" s="1" t="s">
        <v>4</v>
      </c>
      <c r="B7" s="1"/>
      <c r="C7" s="2"/>
      <c r="D7" s="27"/>
      <c r="E7" s="27"/>
      <c r="F7" s="27"/>
      <c r="G7" s="2"/>
      <c r="H7" s="28"/>
      <c r="I7" s="28"/>
      <c r="J7" s="28"/>
      <c r="K7" s="2"/>
      <c r="L7" s="28">
        <v>2127570400</v>
      </c>
      <c r="M7" s="28"/>
      <c r="N7" s="28"/>
      <c r="O7" s="2"/>
      <c r="P7" s="28" t="s">
        <v>80</v>
      </c>
      <c r="Q7" s="28"/>
      <c r="R7" s="28"/>
      <c r="S7" s="2"/>
      <c r="T7" s="28"/>
      <c r="U7" s="28"/>
      <c r="V7" s="28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x14ac:dyDescent="0.25">
      <c r="A9" s="1" t="s">
        <v>5</v>
      </c>
      <c r="B9" s="1"/>
      <c r="C9" s="2"/>
      <c r="D9" s="27">
        <v>500279486</v>
      </c>
      <c r="E9" s="27"/>
      <c r="F9" s="27"/>
      <c r="G9" s="2"/>
      <c r="H9" s="28" t="s">
        <v>77</v>
      </c>
      <c r="I9" s="28"/>
      <c r="J9" s="28"/>
      <c r="K9" s="2"/>
      <c r="L9" s="28">
        <v>1</v>
      </c>
      <c r="M9" s="28"/>
      <c r="N9" s="28"/>
      <c r="O9" s="2"/>
      <c r="P9" s="28"/>
      <c r="Q9" s="28"/>
      <c r="R9" s="28"/>
      <c r="S9" s="2"/>
      <c r="T9" s="28"/>
      <c r="U9" s="28"/>
      <c r="V9" s="28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x14ac:dyDescent="0.2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x14ac:dyDescent="0.25">
      <c r="A11" s="1" t="s">
        <v>6</v>
      </c>
      <c r="B11" s="1"/>
      <c r="C11" s="2" t="s">
        <v>7</v>
      </c>
      <c r="D11" s="2"/>
      <c r="E11" s="1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x14ac:dyDescent="0.2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5">
      <c r="A13" s="1" t="s">
        <v>8</v>
      </c>
      <c r="B13" s="1"/>
      <c r="C13" s="2" t="s">
        <v>9</v>
      </c>
      <c r="D13" s="2"/>
      <c r="E13" s="12"/>
      <c r="F13" s="2"/>
      <c r="G13" s="13" t="s">
        <v>10</v>
      </c>
      <c r="H13" s="29"/>
      <c r="I13" s="29"/>
      <c r="J13" s="29"/>
      <c r="K13" s="29"/>
      <c r="L13" s="29"/>
      <c r="M13" s="29"/>
      <c r="N13" s="29"/>
      <c r="O13" s="29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x14ac:dyDescent="0.25">
      <c r="A15" s="1" t="s">
        <v>11</v>
      </c>
      <c r="B15" s="1"/>
      <c r="C15" s="2"/>
      <c r="D15" s="31"/>
      <c r="E15" s="31"/>
      <c r="F15" s="32" t="s">
        <v>12</v>
      </c>
      <c r="G15" s="33"/>
      <c r="H15" s="28" t="s">
        <v>78</v>
      </c>
      <c r="I15" s="28"/>
      <c r="J15" s="28"/>
      <c r="K15" s="28"/>
      <c r="L15" s="28"/>
      <c r="M15" s="28"/>
      <c r="N15" s="28"/>
      <c r="O15" s="28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x14ac:dyDescent="0.25">
      <c r="A17" s="1" t="s">
        <v>13</v>
      </c>
      <c r="B17" s="1"/>
      <c r="C17" s="2"/>
      <c r="D17" s="34" t="s">
        <v>79</v>
      </c>
      <c r="E17" s="3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thickBot="1" x14ac:dyDescent="0.3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thickBot="1" x14ac:dyDescent="0.3">
      <c r="A19" s="35" t="s">
        <v>14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</row>
    <row r="20" spans="1:34" ht="15.75" thickBot="1" x14ac:dyDescent="0.3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6"/>
      <c r="X20" s="16"/>
      <c r="Y20" s="16"/>
      <c r="Z20" s="16"/>
      <c r="AA20" s="16"/>
      <c r="AB20" s="16"/>
      <c r="AC20" s="11"/>
      <c r="AD20" s="11"/>
      <c r="AE20" s="16"/>
      <c r="AF20" s="11"/>
      <c r="AG20" s="11"/>
      <c r="AH20" s="11"/>
    </row>
    <row r="21" spans="1:34" ht="15.75" thickBot="1" x14ac:dyDescent="0.3">
      <c r="A21" s="36" t="s">
        <v>15</v>
      </c>
      <c r="B21" s="30"/>
      <c r="C21" s="30">
        <v>1</v>
      </c>
      <c r="D21" s="30">
        <v>2</v>
      </c>
      <c r="E21" s="30">
        <v>3</v>
      </c>
      <c r="F21" s="30">
        <v>4</v>
      </c>
      <c r="G21" s="30">
        <v>5</v>
      </c>
      <c r="H21" s="30">
        <v>6</v>
      </c>
      <c r="I21" s="30">
        <v>7</v>
      </c>
      <c r="J21" s="30">
        <v>8</v>
      </c>
      <c r="K21" s="30">
        <v>9</v>
      </c>
      <c r="L21" s="30">
        <v>10</v>
      </c>
      <c r="M21" s="30">
        <v>11</v>
      </c>
      <c r="N21" s="30">
        <v>12</v>
      </c>
      <c r="O21" s="30">
        <v>13</v>
      </c>
      <c r="P21" s="30">
        <v>14</v>
      </c>
      <c r="Q21" s="30">
        <v>15</v>
      </c>
      <c r="R21" s="30">
        <v>16</v>
      </c>
      <c r="S21" s="30">
        <v>17</v>
      </c>
      <c r="T21" s="30">
        <v>18</v>
      </c>
      <c r="U21" s="30">
        <v>19</v>
      </c>
      <c r="V21" s="30">
        <v>20</v>
      </c>
      <c r="W21" s="30">
        <v>21</v>
      </c>
      <c r="X21" s="30">
        <v>22</v>
      </c>
      <c r="Y21" s="30">
        <v>23</v>
      </c>
      <c r="Z21" s="30">
        <v>24</v>
      </c>
      <c r="AA21" s="30">
        <v>25</v>
      </c>
      <c r="AB21" s="30">
        <v>26</v>
      </c>
      <c r="AC21" s="30">
        <v>27</v>
      </c>
      <c r="AD21" s="30">
        <v>28</v>
      </c>
      <c r="AE21" s="30">
        <v>29</v>
      </c>
      <c r="AF21" s="30">
        <v>30</v>
      </c>
      <c r="AG21" s="30">
        <v>31</v>
      </c>
      <c r="AH21" s="30" t="s">
        <v>16</v>
      </c>
    </row>
    <row r="22" spans="1:34" ht="15.75" thickBot="1" x14ac:dyDescent="0.3">
      <c r="A22" s="36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15.75" thickBot="1" x14ac:dyDescent="0.3">
      <c r="A23" s="38" t="s">
        <v>17</v>
      </c>
      <c r="B23" s="17" t="s">
        <v>18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9">
        <f>SUM(C23:AG23)</f>
        <v>0</v>
      </c>
    </row>
    <row r="24" spans="1:34" ht="15.75" thickBot="1" x14ac:dyDescent="0.3">
      <c r="A24" s="38"/>
      <c r="B24" s="20" t="s">
        <v>19</v>
      </c>
      <c r="C24" s="21">
        <v>6.694</v>
      </c>
      <c r="D24" s="21">
        <v>6.8040000000000003</v>
      </c>
      <c r="E24" s="21">
        <v>6.8120000000000003</v>
      </c>
      <c r="F24" s="21">
        <v>7.1669999999999998</v>
      </c>
      <c r="G24" s="21">
        <v>7.0830000000000002</v>
      </c>
      <c r="H24" s="21">
        <v>6.9480000000000004</v>
      </c>
      <c r="I24" s="21">
        <v>7.01</v>
      </c>
      <c r="J24" s="21">
        <v>6.3239999999999998</v>
      </c>
      <c r="K24" s="21">
        <v>6.3040000000000003</v>
      </c>
      <c r="L24" s="21">
        <v>6.2569999999999997</v>
      </c>
      <c r="M24" s="21">
        <v>6.2960000000000003</v>
      </c>
      <c r="N24" s="21">
        <v>6.2649999999999997</v>
      </c>
      <c r="O24" s="21">
        <v>6.375</v>
      </c>
      <c r="P24" s="21">
        <v>6.4429999999999996</v>
      </c>
      <c r="Q24" s="21">
        <v>6.2720000000000002</v>
      </c>
      <c r="R24" s="21">
        <v>6.298</v>
      </c>
      <c r="S24" s="21">
        <v>5.6840000000000002</v>
      </c>
      <c r="T24" s="21">
        <v>6.2080000000000002</v>
      </c>
      <c r="U24" s="21">
        <v>6.1740000000000004</v>
      </c>
      <c r="V24" s="21">
        <v>6.2309999999999999</v>
      </c>
      <c r="W24" s="21">
        <v>6.343</v>
      </c>
      <c r="X24" s="21">
        <v>6.2880000000000003</v>
      </c>
      <c r="Y24" s="21">
        <v>7.2809999999999997</v>
      </c>
      <c r="Z24" s="21">
        <v>7.3280000000000003</v>
      </c>
      <c r="AA24" s="21">
        <v>6.9669999999999996</v>
      </c>
      <c r="AB24" s="21">
        <v>7.0380000000000003</v>
      </c>
      <c r="AC24" s="21">
        <v>6.8959999999999999</v>
      </c>
      <c r="AD24" s="21">
        <v>7.03</v>
      </c>
      <c r="AE24" s="21">
        <v>6.9560000000000004</v>
      </c>
      <c r="AF24" s="21">
        <v>6.9980000000000002</v>
      </c>
      <c r="AG24" s="21">
        <v>7.0460000000000003</v>
      </c>
      <c r="AH24" s="19">
        <f t="shared" ref="AH24:AH70" si="0">SUM(C24:AG24)</f>
        <v>205.82000000000002</v>
      </c>
    </row>
    <row r="25" spans="1:34" ht="15.75" thickBot="1" x14ac:dyDescent="0.3">
      <c r="A25" s="37" t="s">
        <v>20</v>
      </c>
      <c r="B25" s="17" t="s">
        <v>18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9">
        <f t="shared" si="0"/>
        <v>0</v>
      </c>
    </row>
    <row r="26" spans="1:34" ht="15.75" thickBot="1" x14ac:dyDescent="0.3">
      <c r="A26" s="37" t="s">
        <v>59</v>
      </c>
      <c r="B26" s="20" t="s">
        <v>19</v>
      </c>
      <c r="C26" s="21">
        <v>6.758</v>
      </c>
      <c r="D26" s="21">
        <v>6.7670000000000003</v>
      </c>
      <c r="E26" s="21">
        <v>6.8129999999999997</v>
      </c>
      <c r="F26" s="21">
        <v>7.2030000000000003</v>
      </c>
      <c r="G26" s="21">
        <v>6.8559999999999999</v>
      </c>
      <c r="H26" s="21">
        <v>7.0270000000000001</v>
      </c>
      <c r="I26" s="21">
        <v>7.1109999999999998</v>
      </c>
      <c r="J26" s="21">
        <v>6.4029999999999996</v>
      </c>
      <c r="K26" s="21">
        <v>6.3760000000000003</v>
      </c>
      <c r="L26" s="21">
        <v>6.3159999999999998</v>
      </c>
      <c r="M26" s="21">
        <v>6.3620000000000001</v>
      </c>
      <c r="N26" s="21">
        <v>6.3230000000000004</v>
      </c>
      <c r="O26" s="21">
        <v>6.43</v>
      </c>
      <c r="P26" s="21">
        <v>6.4770000000000003</v>
      </c>
      <c r="Q26" s="21">
        <v>6.3339999999999996</v>
      </c>
      <c r="R26" s="21">
        <v>6.3620000000000001</v>
      </c>
      <c r="S26" s="21">
        <v>6.0419999999999998</v>
      </c>
      <c r="T26" s="21">
        <v>6.2809999999999997</v>
      </c>
      <c r="U26" s="21">
        <v>6.266</v>
      </c>
      <c r="V26" s="21">
        <v>6.3129999999999997</v>
      </c>
      <c r="W26" s="21">
        <v>6.3940000000000001</v>
      </c>
      <c r="X26" s="21">
        <v>6.3339999999999996</v>
      </c>
      <c r="Y26" s="21">
        <v>7.39</v>
      </c>
      <c r="Z26" s="21">
        <v>7.41</v>
      </c>
      <c r="AA26" s="21">
        <v>7.0979999999999999</v>
      </c>
      <c r="AB26" s="21">
        <v>7.1429999999999998</v>
      </c>
      <c r="AC26" s="21">
        <v>7.0030000000000001</v>
      </c>
      <c r="AD26" s="21">
        <v>7.0860000000000003</v>
      </c>
      <c r="AE26" s="21">
        <v>7.0890000000000004</v>
      </c>
      <c r="AF26" s="21">
        <v>7.0960000000000001</v>
      </c>
      <c r="AG26" s="21">
        <v>7.14</v>
      </c>
      <c r="AH26" s="19">
        <f t="shared" si="0"/>
        <v>208.00300000000004</v>
      </c>
    </row>
    <row r="27" spans="1:34" ht="15.75" thickBot="1" x14ac:dyDescent="0.3">
      <c r="A27" s="37" t="s">
        <v>21</v>
      </c>
      <c r="B27" s="17" t="s">
        <v>18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9">
        <f t="shared" si="0"/>
        <v>0</v>
      </c>
    </row>
    <row r="28" spans="1:34" ht="15.75" thickBot="1" x14ac:dyDescent="0.3">
      <c r="A28" s="37" t="s">
        <v>60</v>
      </c>
      <c r="B28" s="20" t="s">
        <v>19</v>
      </c>
      <c r="C28" s="21">
        <v>6.8179999999999996</v>
      </c>
      <c r="D28" s="21">
        <v>6.8079999999999998</v>
      </c>
      <c r="E28" s="21">
        <v>6.8490000000000002</v>
      </c>
      <c r="F28" s="21">
        <v>7.2629999999999999</v>
      </c>
      <c r="G28" s="21">
        <v>7.0510000000000002</v>
      </c>
      <c r="H28" s="21">
        <v>7.0860000000000003</v>
      </c>
      <c r="I28" s="21">
        <v>7.1379999999999999</v>
      </c>
      <c r="J28" s="21">
        <v>6.4359999999999999</v>
      </c>
      <c r="K28" s="21">
        <v>6.4470000000000001</v>
      </c>
      <c r="L28" s="21">
        <v>6.3940000000000001</v>
      </c>
      <c r="M28" s="21">
        <v>6.4290000000000003</v>
      </c>
      <c r="N28" s="21">
        <v>6.3849999999999998</v>
      </c>
      <c r="O28" s="21">
        <v>6.4509999999999996</v>
      </c>
      <c r="P28" s="21">
        <v>6.4939999999999998</v>
      </c>
      <c r="Q28" s="21">
        <v>6.5149999999999997</v>
      </c>
      <c r="R28" s="21">
        <v>6.4390000000000001</v>
      </c>
      <c r="S28" s="21">
        <v>6.3490000000000002</v>
      </c>
      <c r="T28" s="21">
        <v>6.3230000000000004</v>
      </c>
      <c r="U28" s="21">
        <v>6.3220000000000001</v>
      </c>
      <c r="V28" s="21">
        <v>6.35</v>
      </c>
      <c r="W28" s="21">
        <v>6.4290000000000003</v>
      </c>
      <c r="X28" s="21">
        <v>6.6829999999999998</v>
      </c>
      <c r="Y28" s="21">
        <v>7.4480000000000004</v>
      </c>
      <c r="Z28" s="21">
        <v>7.4889999999999999</v>
      </c>
      <c r="AA28" s="21">
        <v>7.1740000000000004</v>
      </c>
      <c r="AB28" s="21">
        <v>7.1689999999999996</v>
      </c>
      <c r="AC28" s="21">
        <v>7.0339999999999998</v>
      </c>
      <c r="AD28" s="21">
        <v>7.14</v>
      </c>
      <c r="AE28" s="21">
        <v>7.1680000000000001</v>
      </c>
      <c r="AF28" s="21">
        <v>7.1840000000000002</v>
      </c>
      <c r="AG28" s="21">
        <v>7.1970000000000001</v>
      </c>
      <c r="AH28" s="19">
        <f t="shared" si="0"/>
        <v>210.46200000000002</v>
      </c>
    </row>
    <row r="29" spans="1:34" ht="15.75" thickBot="1" x14ac:dyDescent="0.3">
      <c r="A29" s="37" t="s">
        <v>22</v>
      </c>
      <c r="B29" s="17" t="s">
        <v>18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9">
        <f t="shared" si="0"/>
        <v>0</v>
      </c>
    </row>
    <row r="30" spans="1:34" ht="15.75" thickBot="1" x14ac:dyDescent="0.3">
      <c r="A30" s="37" t="s">
        <v>61</v>
      </c>
      <c r="B30" s="20" t="s">
        <v>19</v>
      </c>
      <c r="C30" s="21">
        <v>6.8289999999999997</v>
      </c>
      <c r="D30" s="21">
        <v>6.8170000000000002</v>
      </c>
      <c r="E30" s="21">
        <v>6.8769999999999998</v>
      </c>
      <c r="F30" s="21">
        <v>7.2729999999999997</v>
      </c>
      <c r="G30" s="21">
        <v>7.0759999999999996</v>
      </c>
      <c r="H30" s="21">
        <v>7.1559999999999997</v>
      </c>
      <c r="I30" s="21">
        <v>7.1310000000000002</v>
      </c>
      <c r="J30" s="21">
        <v>6.444</v>
      </c>
      <c r="K30" s="21">
        <v>6.4880000000000004</v>
      </c>
      <c r="L30" s="21">
        <v>6.4459999999999997</v>
      </c>
      <c r="M30" s="21">
        <v>6.4649999999999999</v>
      </c>
      <c r="N30" s="21">
        <v>6.4119999999999999</v>
      </c>
      <c r="O30" s="21">
        <v>6.4669999999999996</v>
      </c>
      <c r="P30" s="21">
        <v>6.5049999999999999</v>
      </c>
      <c r="Q30" s="21">
        <v>6.5449999999999999</v>
      </c>
      <c r="R30" s="21">
        <v>6.4370000000000003</v>
      </c>
      <c r="S30" s="21">
        <v>6.3810000000000002</v>
      </c>
      <c r="T30" s="21">
        <v>6.3840000000000003</v>
      </c>
      <c r="U30" s="21">
        <v>6.3849999999999998</v>
      </c>
      <c r="V30" s="21">
        <v>6.3810000000000002</v>
      </c>
      <c r="W30" s="21">
        <v>6.4379999999999997</v>
      </c>
      <c r="X30" s="21">
        <v>7.3040000000000003</v>
      </c>
      <c r="Y30" s="21">
        <v>7.53</v>
      </c>
      <c r="Z30" s="21">
        <v>7.5279999999999996</v>
      </c>
      <c r="AA30" s="21">
        <v>7.2350000000000003</v>
      </c>
      <c r="AB30" s="21">
        <v>7.2290000000000001</v>
      </c>
      <c r="AC30" s="21">
        <v>7.0830000000000002</v>
      </c>
      <c r="AD30" s="21">
        <v>7.2039999999999997</v>
      </c>
      <c r="AE30" s="21">
        <v>7.2080000000000002</v>
      </c>
      <c r="AF30" s="21">
        <v>7.2290000000000001</v>
      </c>
      <c r="AG30" s="21">
        <v>7.2290000000000001</v>
      </c>
      <c r="AH30" s="19">
        <f t="shared" si="0"/>
        <v>212.11600000000004</v>
      </c>
    </row>
    <row r="31" spans="1:34" ht="15.75" thickBot="1" x14ac:dyDescent="0.3">
      <c r="A31" s="37" t="s">
        <v>23</v>
      </c>
      <c r="B31" s="17" t="s">
        <v>18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9">
        <f t="shared" si="0"/>
        <v>0</v>
      </c>
    </row>
    <row r="32" spans="1:34" ht="15.75" thickBot="1" x14ac:dyDescent="0.3">
      <c r="A32" s="37" t="s">
        <v>62</v>
      </c>
      <c r="B32" s="20" t="s">
        <v>19</v>
      </c>
      <c r="C32" s="21">
        <v>6.8529999999999998</v>
      </c>
      <c r="D32" s="21">
        <v>6.8470000000000004</v>
      </c>
      <c r="E32" s="21">
        <v>6.9089999999999998</v>
      </c>
      <c r="F32" s="21">
        <v>7.3010000000000002</v>
      </c>
      <c r="G32" s="21">
        <v>7.093</v>
      </c>
      <c r="H32" s="21">
        <v>7.1619999999999999</v>
      </c>
      <c r="I32" s="21">
        <v>7.1470000000000002</v>
      </c>
      <c r="J32" s="21">
        <v>6.4740000000000002</v>
      </c>
      <c r="K32" s="21">
        <v>6.5369999999999999</v>
      </c>
      <c r="L32" s="21">
        <v>6.4989999999999997</v>
      </c>
      <c r="M32" s="21">
        <v>6.4390000000000001</v>
      </c>
      <c r="N32" s="21">
        <v>6.46</v>
      </c>
      <c r="O32" s="21">
        <v>6.5250000000000004</v>
      </c>
      <c r="P32" s="21">
        <v>6.0949999999999998</v>
      </c>
      <c r="Q32" s="21">
        <v>6.6</v>
      </c>
      <c r="R32" s="21">
        <v>6.4669999999999996</v>
      </c>
      <c r="S32" s="21">
        <v>6.4139999999999997</v>
      </c>
      <c r="T32" s="21">
        <v>6.4589999999999996</v>
      </c>
      <c r="U32" s="21">
        <v>6.41</v>
      </c>
      <c r="V32" s="21">
        <v>6.4029999999999996</v>
      </c>
      <c r="W32" s="21">
        <v>6.4669999999999996</v>
      </c>
      <c r="X32" s="21">
        <v>7.367</v>
      </c>
      <c r="Y32" s="21">
        <v>7.5659999999999998</v>
      </c>
      <c r="Z32" s="21">
        <v>7.5490000000000004</v>
      </c>
      <c r="AA32" s="21">
        <v>7.2880000000000003</v>
      </c>
      <c r="AB32" s="21">
        <v>7.2850000000000001</v>
      </c>
      <c r="AC32" s="21">
        <v>7.14</v>
      </c>
      <c r="AD32" s="21">
        <v>6.508</v>
      </c>
      <c r="AE32" s="21">
        <v>7.2530000000000001</v>
      </c>
      <c r="AF32" s="21">
        <v>7.282</v>
      </c>
      <c r="AG32" s="21">
        <v>7.2750000000000004</v>
      </c>
      <c r="AH32" s="19">
        <f t="shared" si="0"/>
        <v>212.07400000000001</v>
      </c>
    </row>
    <row r="33" spans="1:34" ht="15.75" thickBot="1" x14ac:dyDescent="0.3">
      <c r="A33" s="37" t="s">
        <v>24</v>
      </c>
      <c r="B33" s="17" t="s">
        <v>18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9">
        <f t="shared" si="0"/>
        <v>0</v>
      </c>
    </row>
    <row r="34" spans="1:34" ht="15.75" thickBot="1" x14ac:dyDescent="0.3">
      <c r="A34" s="37" t="s">
        <v>63</v>
      </c>
      <c r="B34" s="20" t="s">
        <v>19</v>
      </c>
      <c r="C34" s="21">
        <v>1.79</v>
      </c>
      <c r="D34" s="21">
        <v>1.8120000000000001</v>
      </c>
      <c r="E34" s="21">
        <v>1.931</v>
      </c>
      <c r="F34" s="21">
        <v>2.0150000000000001</v>
      </c>
      <c r="G34" s="21">
        <v>1.8640000000000001</v>
      </c>
      <c r="H34" s="21">
        <v>2.1070000000000002</v>
      </c>
      <c r="I34" s="21">
        <v>2.2250000000000001</v>
      </c>
      <c r="J34" s="21">
        <v>2.125</v>
      </c>
      <c r="K34" s="21">
        <v>2.1379999999999999</v>
      </c>
      <c r="L34" s="21">
        <v>2.2280000000000002</v>
      </c>
      <c r="M34" s="21">
        <v>2.3149999999999999</v>
      </c>
      <c r="N34" s="21">
        <v>2.331</v>
      </c>
      <c r="O34" s="21">
        <v>2.448</v>
      </c>
      <c r="P34" s="21">
        <v>2.0750000000000002</v>
      </c>
      <c r="Q34" s="21">
        <v>2.7090000000000001</v>
      </c>
      <c r="R34" s="21">
        <v>2.734</v>
      </c>
      <c r="S34" s="21">
        <v>2.7109999999999999</v>
      </c>
      <c r="T34" s="21">
        <v>2.831</v>
      </c>
      <c r="U34" s="21">
        <v>2.9260000000000002</v>
      </c>
      <c r="V34" s="21">
        <v>3.0310000000000001</v>
      </c>
      <c r="W34" s="21">
        <v>3.161</v>
      </c>
      <c r="X34" s="21">
        <v>3.7229999999999999</v>
      </c>
      <c r="Y34" s="21">
        <v>3.8140000000000001</v>
      </c>
      <c r="Z34" s="21">
        <v>3.919</v>
      </c>
      <c r="AA34" s="21">
        <v>3.9129999999999998</v>
      </c>
      <c r="AB34" s="21">
        <v>4.0460000000000003</v>
      </c>
      <c r="AC34" s="21">
        <v>4.0659999999999998</v>
      </c>
      <c r="AD34" s="21">
        <v>3.5129999999999999</v>
      </c>
      <c r="AE34" s="21">
        <v>4.359</v>
      </c>
      <c r="AF34" s="21">
        <v>4.4779999999999998</v>
      </c>
      <c r="AG34" s="21">
        <v>4.6150000000000002</v>
      </c>
      <c r="AH34" s="19">
        <f t="shared" si="0"/>
        <v>89.953000000000003</v>
      </c>
    </row>
    <row r="35" spans="1:34" ht="15.75" thickBot="1" x14ac:dyDescent="0.3">
      <c r="A35" s="39" t="s">
        <v>25</v>
      </c>
      <c r="B35" s="17" t="s">
        <v>18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9">
        <f t="shared" si="0"/>
        <v>0</v>
      </c>
    </row>
    <row r="36" spans="1:34" ht="15.75" thickBot="1" x14ac:dyDescent="0.3">
      <c r="A36" s="39" t="s">
        <v>53</v>
      </c>
      <c r="B36" s="20" t="s">
        <v>19</v>
      </c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1E-3</v>
      </c>
      <c r="S36" s="21">
        <v>0</v>
      </c>
      <c r="T36" s="21">
        <v>0</v>
      </c>
      <c r="U36" s="21">
        <v>1E-3</v>
      </c>
      <c r="V36" s="21">
        <v>0</v>
      </c>
      <c r="W36" s="21">
        <v>1E-3</v>
      </c>
      <c r="X36" s="21">
        <v>1E-3</v>
      </c>
      <c r="Y36" s="21">
        <v>0</v>
      </c>
      <c r="Z36" s="21">
        <v>1E-3</v>
      </c>
      <c r="AA36" s="21">
        <v>0</v>
      </c>
      <c r="AB36" s="21">
        <v>0</v>
      </c>
      <c r="AC36" s="21">
        <v>0</v>
      </c>
      <c r="AD36" s="21">
        <v>1E-3</v>
      </c>
      <c r="AE36" s="21">
        <v>0</v>
      </c>
      <c r="AF36" s="21">
        <v>1E-3</v>
      </c>
      <c r="AG36" s="21">
        <v>1E-3</v>
      </c>
      <c r="AH36" s="19">
        <f t="shared" si="0"/>
        <v>8.0000000000000002E-3</v>
      </c>
    </row>
    <row r="37" spans="1:34" ht="15.75" thickBot="1" x14ac:dyDescent="0.3">
      <c r="A37" s="39" t="s">
        <v>26</v>
      </c>
      <c r="B37" s="17" t="s">
        <v>18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9">
        <f t="shared" si="0"/>
        <v>0</v>
      </c>
    </row>
    <row r="38" spans="1:34" ht="15.75" thickBot="1" x14ac:dyDescent="0.3">
      <c r="A38" s="39" t="s">
        <v>54</v>
      </c>
      <c r="B38" s="20" t="s">
        <v>19</v>
      </c>
      <c r="C38" s="21">
        <v>1E-3</v>
      </c>
      <c r="D38" s="21">
        <v>1E-3</v>
      </c>
      <c r="E38" s="21">
        <v>1E-3</v>
      </c>
      <c r="F38" s="21">
        <v>1E-3</v>
      </c>
      <c r="G38" s="21">
        <v>1E-3</v>
      </c>
      <c r="H38" s="21">
        <v>1E-3</v>
      </c>
      <c r="I38" s="21">
        <v>1E-3</v>
      </c>
      <c r="J38" s="21">
        <v>1E-3</v>
      </c>
      <c r="K38" s="21">
        <v>1E-3</v>
      </c>
      <c r="L38" s="21">
        <v>1E-3</v>
      </c>
      <c r="M38" s="21">
        <v>1E-3</v>
      </c>
      <c r="N38" s="21">
        <v>1E-3</v>
      </c>
      <c r="O38" s="21">
        <v>1E-3</v>
      </c>
      <c r="P38" s="21">
        <v>1E-3</v>
      </c>
      <c r="Q38" s="21">
        <v>1E-3</v>
      </c>
      <c r="R38" s="21">
        <v>0</v>
      </c>
      <c r="S38" s="21">
        <v>1E-3</v>
      </c>
      <c r="T38" s="21">
        <v>1E-3</v>
      </c>
      <c r="U38" s="21">
        <v>0</v>
      </c>
      <c r="V38" s="21">
        <v>1E-3</v>
      </c>
      <c r="W38" s="21">
        <v>0</v>
      </c>
      <c r="X38" s="21">
        <v>0</v>
      </c>
      <c r="Y38" s="21">
        <v>1E-3</v>
      </c>
      <c r="Z38" s="21">
        <v>0</v>
      </c>
      <c r="AA38" s="21">
        <v>1E-3</v>
      </c>
      <c r="AB38" s="21">
        <v>1E-3</v>
      </c>
      <c r="AC38" s="21">
        <v>1E-3</v>
      </c>
      <c r="AD38" s="21">
        <v>0</v>
      </c>
      <c r="AE38" s="21">
        <v>1E-3</v>
      </c>
      <c r="AF38" s="21">
        <v>0</v>
      </c>
      <c r="AG38" s="21">
        <v>0</v>
      </c>
      <c r="AH38" s="19">
        <f t="shared" si="0"/>
        <v>2.3000000000000013E-2</v>
      </c>
    </row>
    <row r="39" spans="1:34" ht="15.75" thickBot="1" x14ac:dyDescent="0.3">
      <c r="A39" s="39" t="s">
        <v>27</v>
      </c>
      <c r="B39" s="17" t="s">
        <v>18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9">
        <f t="shared" si="0"/>
        <v>0</v>
      </c>
    </row>
    <row r="40" spans="1:34" ht="15.75" thickBot="1" x14ac:dyDescent="0.3">
      <c r="A40" s="39" t="s">
        <v>55</v>
      </c>
      <c r="B40" s="20" t="s">
        <v>19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1E-3</v>
      </c>
      <c r="S40" s="21">
        <v>0</v>
      </c>
      <c r="T40" s="21">
        <v>0</v>
      </c>
      <c r="U40" s="21">
        <v>1E-3</v>
      </c>
      <c r="V40" s="21">
        <v>0</v>
      </c>
      <c r="W40" s="21">
        <v>1E-3</v>
      </c>
      <c r="X40" s="21">
        <v>1E-3</v>
      </c>
      <c r="Y40" s="21">
        <v>0</v>
      </c>
      <c r="Z40" s="21">
        <v>1E-3</v>
      </c>
      <c r="AA40" s="21">
        <v>0</v>
      </c>
      <c r="AB40" s="21">
        <v>0</v>
      </c>
      <c r="AC40" s="21">
        <v>0</v>
      </c>
      <c r="AD40" s="21">
        <v>1E-3</v>
      </c>
      <c r="AE40" s="21">
        <v>0</v>
      </c>
      <c r="AF40" s="21">
        <v>1E-3</v>
      </c>
      <c r="AG40" s="21">
        <v>1E-3</v>
      </c>
      <c r="AH40" s="19">
        <f t="shared" si="0"/>
        <v>8.0000000000000002E-3</v>
      </c>
    </row>
    <row r="41" spans="1:34" ht="15.75" thickBot="1" x14ac:dyDescent="0.3">
      <c r="A41" s="39" t="s">
        <v>28</v>
      </c>
      <c r="B41" s="17" t="s">
        <v>18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9">
        <f t="shared" si="0"/>
        <v>0</v>
      </c>
    </row>
    <row r="42" spans="1:34" ht="15.75" thickBot="1" x14ac:dyDescent="0.3">
      <c r="A42" s="39" t="s">
        <v>56</v>
      </c>
      <c r="B42" s="20" t="s">
        <v>19</v>
      </c>
      <c r="C42" s="21">
        <v>1E-3</v>
      </c>
      <c r="D42" s="21">
        <v>1E-3</v>
      </c>
      <c r="E42" s="21">
        <v>1E-3</v>
      </c>
      <c r="F42" s="21">
        <v>1E-3</v>
      </c>
      <c r="G42" s="21">
        <v>1E-3</v>
      </c>
      <c r="H42" s="21">
        <v>1E-3</v>
      </c>
      <c r="I42" s="21">
        <v>1E-3</v>
      </c>
      <c r="J42" s="21">
        <v>1E-3</v>
      </c>
      <c r="K42" s="21">
        <v>1E-3</v>
      </c>
      <c r="L42" s="21">
        <v>1E-3</v>
      </c>
      <c r="M42" s="21">
        <v>1E-3</v>
      </c>
      <c r="N42" s="21">
        <v>1E-3</v>
      </c>
      <c r="O42" s="21">
        <v>1E-3</v>
      </c>
      <c r="P42" s="21">
        <v>1E-3</v>
      </c>
      <c r="Q42" s="21">
        <v>1E-3</v>
      </c>
      <c r="R42" s="21">
        <v>0</v>
      </c>
      <c r="S42" s="21">
        <v>1E-3</v>
      </c>
      <c r="T42" s="21">
        <v>1E-3</v>
      </c>
      <c r="U42" s="21">
        <v>0</v>
      </c>
      <c r="V42" s="21">
        <v>1E-3</v>
      </c>
      <c r="W42" s="21">
        <v>0</v>
      </c>
      <c r="X42" s="21">
        <v>0</v>
      </c>
      <c r="Y42" s="21">
        <v>1E-3</v>
      </c>
      <c r="Z42" s="21">
        <v>0</v>
      </c>
      <c r="AA42" s="21">
        <v>1E-3</v>
      </c>
      <c r="AB42" s="21">
        <v>1E-3</v>
      </c>
      <c r="AC42" s="21">
        <v>1E-3</v>
      </c>
      <c r="AD42" s="21">
        <v>0</v>
      </c>
      <c r="AE42" s="21">
        <v>1E-3</v>
      </c>
      <c r="AF42" s="21">
        <v>0</v>
      </c>
      <c r="AG42" s="21">
        <v>0</v>
      </c>
      <c r="AH42" s="19">
        <f t="shared" si="0"/>
        <v>2.3000000000000013E-2</v>
      </c>
    </row>
    <row r="43" spans="1:34" ht="15.75" thickBot="1" x14ac:dyDescent="0.3">
      <c r="A43" s="39" t="s">
        <v>29</v>
      </c>
      <c r="B43" s="17" t="s">
        <v>18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9">
        <f t="shared" si="0"/>
        <v>0</v>
      </c>
    </row>
    <row r="44" spans="1:34" ht="15.75" thickBot="1" x14ac:dyDescent="0.3">
      <c r="A44" s="39" t="s">
        <v>57</v>
      </c>
      <c r="B44" s="20" t="s">
        <v>19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1E-3</v>
      </c>
      <c r="S44" s="21">
        <v>0</v>
      </c>
      <c r="T44" s="21">
        <v>0</v>
      </c>
      <c r="U44" s="21">
        <v>1E-3</v>
      </c>
      <c r="V44" s="21">
        <v>0</v>
      </c>
      <c r="W44" s="21">
        <v>1E-3</v>
      </c>
      <c r="X44" s="21">
        <v>1E-3</v>
      </c>
      <c r="Y44" s="21">
        <v>0</v>
      </c>
      <c r="Z44" s="21">
        <v>1E-3</v>
      </c>
      <c r="AA44" s="21">
        <v>0</v>
      </c>
      <c r="AB44" s="21">
        <v>0</v>
      </c>
      <c r="AC44" s="21">
        <v>0</v>
      </c>
      <c r="AD44" s="21">
        <v>1E-3</v>
      </c>
      <c r="AE44" s="21">
        <v>0</v>
      </c>
      <c r="AF44" s="21">
        <v>1E-3</v>
      </c>
      <c r="AG44" s="21">
        <v>1E-3</v>
      </c>
      <c r="AH44" s="19">
        <f t="shared" si="0"/>
        <v>8.0000000000000002E-3</v>
      </c>
    </row>
    <row r="45" spans="1:34" ht="15.75" thickBot="1" x14ac:dyDescent="0.3">
      <c r="A45" s="39" t="s">
        <v>30</v>
      </c>
      <c r="B45" s="17" t="s">
        <v>18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9">
        <f t="shared" si="0"/>
        <v>0</v>
      </c>
    </row>
    <row r="46" spans="1:34" ht="15.75" thickBot="1" x14ac:dyDescent="0.3">
      <c r="A46" s="39" t="s">
        <v>58</v>
      </c>
      <c r="B46" s="20" t="s">
        <v>19</v>
      </c>
      <c r="C46" s="21">
        <v>1E-3</v>
      </c>
      <c r="D46" s="21">
        <v>1E-3</v>
      </c>
      <c r="E46" s="21">
        <v>1E-3</v>
      </c>
      <c r="F46" s="21">
        <v>1E-3</v>
      </c>
      <c r="G46" s="21">
        <v>1E-3</v>
      </c>
      <c r="H46" s="21">
        <v>1E-3</v>
      </c>
      <c r="I46" s="21">
        <v>1E-3</v>
      </c>
      <c r="J46" s="21">
        <v>1E-3</v>
      </c>
      <c r="K46" s="21">
        <v>1E-3</v>
      </c>
      <c r="L46" s="21">
        <v>1E-3</v>
      </c>
      <c r="M46" s="21">
        <v>1E-3</v>
      </c>
      <c r="N46" s="21">
        <v>1E-3</v>
      </c>
      <c r="O46" s="21">
        <v>1E-3</v>
      </c>
      <c r="P46" s="21">
        <v>1E-3</v>
      </c>
      <c r="Q46" s="21">
        <v>1E-3</v>
      </c>
      <c r="R46" s="21">
        <v>0</v>
      </c>
      <c r="S46" s="21">
        <v>1E-3</v>
      </c>
      <c r="T46" s="21">
        <v>1E-3</v>
      </c>
      <c r="U46" s="21">
        <v>0</v>
      </c>
      <c r="V46" s="21">
        <v>1E-3</v>
      </c>
      <c r="W46" s="21">
        <v>0</v>
      </c>
      <c r="X46" s="21">
        <v>0</v>
      </c>
      <c r="Y46" s="21">
        <v>1E-3</v>
      </c>
      <c r="Z46" s="21">
        <v>0</v>
      </c>
      <c r="AA46" s="21">
        <v>1E-3</v>
      </c>
      <c r="AB46" s="21">
        <v>1E-3</v>
      </c>
      <c r="AC46" s="21">
        <v>1E-3</v>
      </c>
      <c r="AD46" s="21">
        <v>0</v>
      </c>
      <c r="AE46" s="21">
        <v>1E-3</v>
      </c>
      <c r="AF46" s="21">
        <v>0</v>
      </c>
      <c r="AG46" s="21">
        <v>0</v>
      </c>
      <c r="AH46" s="19">
        <f t="shared" si="0"/>
        <v>2.3000000000000013E-2</v>
      </c>
    </row>
    <row r="47" spans="1:34" ht="15.75" thickBot="1" x14ac:dyDescent="0.3">
      <c r="A47" s="39" t="s">
        <v>32</v>
      </c>
      <c r="B47" s="17" t="s">
        <v>18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9">
        <f t="shared" si="0"/>
        <v>0</v>
      </c>
    </row>
    <row r="48" spans="1:34" ht="15.75" thickBot="1" x14ac:dyDescent="0.3">
      <c r="A48" s="39"/>
      <c r="B48" s="20" t="s">
        <v>19</v>
      </c>
      <c r="C48" s="21">
        <v>0</v>
      </c>
      <c r="D48" s="21">
        <v>1E-3</v>
      </c>
      <c r="E48" s="21">
        <v>1E-3</v>
      </c>
      <c r="F48" s="21">
        <v>1E-3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1E-3</v>
      </c>
      <c r="S48" s="21">
        <v>0</v>
      </c>
      <c r="T48" s="21">
        <v>0</v>
      </c>
      <c r="U48" s="21">
        <v>1E-3</v>
      </c>
      <c r="V48" s="21">
        <v>0</v>
      </c>
      <c r="W48" s="21">
        <v>1E-3</v>
      </c>
      <c r="X48" s="21">
        <v>1E-3</v>
      </c>
      <c r="Y48" s="21">
        <v>0</v>
      </c>
      <c r="Z48" s="21">
        <v>1E-3</v>
      </c>
      <c r="AA48" s="21">
        <v>0</v>
      </c>
      <c r="AB48" s="21">
        <v>0</v>
      </c>
      <c r="AC48" s="21">
        <v>0</v>
      </c>
      <c r="AD48" s="21">
        <v>1E-3</v>
      </c>
      <c r="AE48" s="21">
        <v>0</v>
      </c>
      <c r="AF48" s="21">
        <v>1E-3</v>
      </c>
      <c r="AG48" s="21">
        <v>1E-3</v>
      </c>
      <c r="AH48" s="19">
        <f t="shared" si="0"/>
        <v>1.1000000000000003E-2</v>
      </c>
    </row>
    <row r="49" spans="1:34" ht="15.75" thickBot="1" x14ac:dyDescent="0.3">
      <c r="A49" s="39" t="s">
        <v>33</v>
      </c>
      <c r="B49" s="17" t="s">
        <v>18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9">
        <f t="shared" si="0"/>
        <v>0</v>
      </c>
    </row>
    <row r="50" spans="1:34" ht="15.75" thickBot="1" x14ac:dyDescent="0.3">
      <c r="A50" s="39" t="s">
        <v>59</v>
      </c>
      <c r="B50" s="20" t="s">
        <v>19</v>
      </c>
      <c r="C50" s="21">
        <v>1E-3</v>
      </c>
      <c r="D50" s="21">
        <v>0</v>
      </c>
      <c r="E50" s="21">
        <v>0</v>
      </c>
      <c r="F50" s="21">
        <v>0</v>
      </c>
      <c r="G50" s="21">
        <v>1E-3</v>
      </c>
      <c r="H50" s="21">
        <v>1E-3</v>
      </c>
      <c r="I50" s="21">
        <v>1E-3</v>
      </c>
      <c r="J50" s="21">
        <v>1E-3</v>
      </c>
      <c r="K50" s="21">
        <v>1E-3</v>
      </c>
      <c r="L50" s="21">
        <v>1E-3</v>
      </c>
      <c r="M50" s="21">
        <v>1E-3</v>
      </c>
      <c r="N50" s="21">
        <v>1E-3</v>
      </c>
      <c r="O50" s="21">
        <v>1E-3</v>
      </c>
      <c r="P50" s="21">
        <v>1E-3</v>
      </c>
      <c r="Q50" s="21">
        <v>1E-3</v>
      </c>
      <c r="R50" s="21">
        <v>0</v>
      </c>
      <c r="S50" s="21">
        <v>1E-3</v>
      </c>
      <c r="T50" s="21">
        <v>1E-3</v>
      </c>
      <c r="U50" s="21">
        <v>0</v>
      </c>
      <c r="V50" s="21">
        <v>1E-3</v>
      </c>
      <c r="W50" s="21">
        <v>0</v>
      </c>
      <c r="X50" s="21">
        <v>0</v>
      </c>
      <c r="Y50" s="21">
        <v>1E-3</v>
      </c>
      <c r="Z50" s="21">
        <v>0</v>
      </c>
      <c r="AA50" s="21">
        <v>1E-3</v>
      </c>
      <c r="AB50" s="21">
        <v>1E-3</v>
      </c>
      <c r="AC50" s="21">
        <v>1E-3</v>
      </c>
      <c r="AD50" s="21">
        <v>0</v>
      </c>
      <c r="AE50" s="21">
        <v>1E-3</v>
      </c>
      <c r="AF50" s="21">
        <v>0</v>
      </c>
      <c r="AG50" s="21">
        <v>0</v>
      </c>
      <c r="AH50" s="19">
        <f t="shared" si="0"/>
        <v>2.0000000000000011E-2</v>
      </c>
    </row>
    <row r="51" spans="1:34" ht="15.75" thickBot="1" x14ac:dyDescent="0.3">
      <c r="A51" s="39" t="s">
        <v>34</v>
      </c>
      <c r="B51" s="17" t="s">
        <v>18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9">
        <f t="shared" si="0"/>
        <v>0</v>
      </c>
    </row>
    <row r="52" spans="1:34" ht="15.75" thickBot="1" x14ac:dyDescent="0.3">
      <c r="A52" s="39" t="s">
        <v>60</v>
      </c>
      <c r="B52" s="20" t="s">
        <v>19</v>
      </c>
      <c r="C52" s="21">
        <v>1E-3</v>
      </c>
      <c r="D52" s="21">
        <v>1E-3</v>
      </c>
      <c r="E52" s="21">
        <v>1E-3</v>
      </c>
      <c r="F52" s="21">
        <v>1E-3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1E-3</v>
      </c>
      <c r="S52" s="21">
        <v>0</v>
      </c>
      <c r="T52" s="21">
        <v>0</v>
      </c>
      <c r="U52" s="21">
        <v>1E-3</v>
      </c>
      <c r="V52" s="21">
        <v>0</v>
      </c>
      <c r="W52" s="21">
        <v>1E-3</v>
      </c>
      <c r="X52" s="21">
        <v>1E-3</v>
      </c>
      <c r="Y52" s="21">
        <v>0</v>
      </c>
      <c r="Z52" s="21">
        <v>1E-3</v>
      </c>
      <c r="AA52" s="21">
        <v>0</v>
      </c>
      <c r="AB52" s="21">
        <v>0</v>
      </c>
      <c r="AC52" s="21">
        <v>0</v>
      </c>
      <c r="AD52" s="21">
        <v>1E-3</v>
      </c>
      <c r="AE52" s="21">
        <v>0</v>
      </c>
      <c r="AF52" s="21">
        <v>1E-3</v>
      </c>
      <c r="AG52" s="21">
        <v>1E-3</v>
      </c>
      <c r="AH52" s="19">
        <f t="shared" si="0"/>
        <v>1.2000000000000004E-2</v>
      </c>
    </row>
    <row r="53" spans="1:34" ht="15.75" thickBot="1" x14ac:dyDescent="0.3">
      <c r="A53" s="39" t="s">
        <v>35</v>
      </c>
      <c r="B53" s="17" t="s">
        <v>18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9">
        <f t="shared" si="0"/>
        <v>0</v>
      </c>
    </row>
    <row r="54" spans="1:34" ht="15.75" thickBot="1" x14ac:dyDescent="0.3">
      <c r="A54" s="39" t="s">
        <v>61</v>
      </c>
      <c r="B54" s="20" t="s">
        <v>19</v>
      </c>
      <c r="C54" s="21">
        <v>0</v>
      </c>
      <c r="D54" s="21">
        <v>0</v>
      </c>
      <c r="E54" s="21">
        <v>0</v>
      </c>
      <c r="F54" s="21">
        <v>0</v>
      </c>
      <c r="G54" s="21">
        <v>1E-3</v>
      </c>
      <c r="H54" s="21">
        <v>1E-3</v>
      </c>
      <c r="I54" s="21">
        <v>1E-3</v>
      </c>
      <c r="J54" s="21">
        <v>1E-3</v>
      </c>
      <c r="K54" s="21">
        <v>1E-3</v>
      </c>
      <c r="L54" s="21">
        <v>1E-3</v>
      </c>
      <c r="M54" s="21">
        <v>1E-3</v>
      </c>
      <c r="N54" s="21">
        <v>1E-3</v>
      </c>
      <c r="O54" s="21">
        <v>1E-3</v>
      </c>
      <c r="P54" s="21">
        <v>1E-3</v>
      </c>
      <c r="Q54" s="21">
        <v>1E-3</v>
      </c>
      <c r="R54" s="21">
        <v>0</v>
      </c>
      <c r="S54" s="21">
        <v>1E-3</v>
      </c>
      <c r="T54" s="21">
        <v>1E-3</v>
      </c>
      <c r="U54" s="21">
        <v>0</v>
      </c>
      <c r="V54" s="21">
        <v>1E-3</v>
      </c>
      <c r="W54" s="21">
        <v>0</v>
      </c>
      <c r="X54" s="21">
        <v>0</v>
      </c>
      <c r="Y54" s="21">
        <v>1E-3</v>
      </c>
      <c r="Z54" s="21">
        <v>0</v>
      </c>
      <c r="AA54" s="21">
        <v>1E-3</v>
      </c>
      <c r="AB54" s="21">
        <v>1E-3</v>
      </c>
      <c r="AC54" s="21">
        <v>1E-3</v>
      </c>
      <c r="AD54" s="21">
        <v>0</v>
      </c>
      <c r="AE54" s="21">
        <v>1E-3</v>
      </c>
      <c r="AF54" s="21">
        <v>0</v>
      </c>
      <c r="AG54" s="21">
        <v>0</v>
      </c>
      <c r="AH54" s="19">
        <f t="shared" si="0"/>
        <v>1.900000000000001E-2</v>
      </c>
    </row>
    <row r="55" spans="1:34" ht="15.75" thickBot="1" x14ac:dyDescent="0.3">
      <c r="A55" s="39" t="s">
        <v>36</v>
      </c>
      <c r="B55" s="17" t="s">
        <v>18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9">
        <f t="shared" si="0"/>
        <v>0</v>
      </c>
    </row>
    <row r="56" spans="1:34" ht="15.75" thickBot="1" x14ac:dyDescent="0.3">
      <c r="A56" s="39" t="s">
        <v>62</v>
      </c>
      <c r="B56" s="20" t="s">
        <v>19</v>
      </c>
      <c r="C56" s="21">
        <v>1E-3</v>
      </c>
      <c r="D56" s="21">
        <v>1E-3</v>
      </c>
      <c r="E56" s="21">
        <v>1E-3</v>
      </c>
      <c r="F56" s="21">
        <v>1E-3</v>
      </c>
      <c r="G56" s="21">
        <v>0</v>
      </c>
      <c r="H56" s="21">
        <v>0</v>
      </c>
      <c r="I56" s="21">
        <v>1E-3</v>
      </c>
      <c r="J56" s="21">
        <v>1E-3</v>
      </c>
      <c r="K56" s="21">
        <v>1E-3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1E-3</v>
      </c>
      <c r="S56" s="21">
        <v>0</v>
      </c>
      <c r="T56" s="21">
        <v>0</v>
      </c>
      <c r="U56" s="21">
        <v>1E-3</v>
      </c>
      <c r="V56" s="21">
        <v>0</v>
      </c>
      <c r="W56" s="21">
        <v>1E-3</v>
      </c>
      <c r="X56" s="21">
        <v>1E-3</v>
      </c>
      <c r="Y56" s="21">
        <v>0</v>
      </c>
      <c r="Z56" s="21">
        <v>1E-3</v>
      </c>
      <c r="AA56" s="21">
        <v>0</v>
      </c>
      <c r="AB56" s="21">
        <v>0</v>
      </c>
      <c r="AC56" s="21">
        <v>0</v>
      </c>
      <c r="AD56" s="21">
        <v>1E-3</v>
      </c>
      <c r="AE56" s="21">
        <v>0</v>
      </c>
      <c r="AF56" s="21">
        <v>1E-3</v>
      </c>
      <c r="AG56" s="21">
        <v>1E-3</v>
      </c>
      <c r="AH56" s="19">
        <f t="shared" si="0"/>
        <v>1.5000000000000006E-2</v>
      </c>
    </row>
    <row r="57" spans="1:34" ht="15.75" thickBot="1" x14ac:dyDescent="0.3">
      <c r="A57" s="44" t="s">
        <v>37</v>
      </c>
      <c r="B57" s="17" t="s">
        <v>18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9">
        <f t="shared" si="0"/>
        <v>0</v>
      </c>
    </row>
    <row r="58" spans="1:34" ht="15.75" thickBot="1" x14ac:dyDescent="0.3">
      <c r="A58" s="44" t="s">
        <v>63</v>
      </c>
      <c r="B58" s="20" t="s">
        <v>19</v>
      </c>
      <c r="C58" s="21">
        <v>0</v>
      </c>
      <c r="D58" s="21">
        <v>0</v>
      </c>
      <c r="E58" s="21">
        <v>0</v>
      </c>
      <c r="F58" s="21">
        <v>0</v>
      </c>
      <c r="G58" s="21">
        <v>1E-3</v>
      </c>
      <c r="H58" s="21">
        <v>1E-3</v>
      </c>
      <c r="I58" s="21">
        <v>0</v>
      </c>
      <c r="J58" s="21">
        <v>0</v>
      </c>
      <c r="K58" s="21">
        <v>0</v>
      </c>
      <c r="L58" s="21">
        <v>1E-3</v>
      </c>
      <c r="M58" s="21">
        <v>1E-3</v>
      </c>
      <c r="N58" s="21">
        <v>1E-3</v>
      </c>
      <c r="O58" s="21">
        <v>1E-3</v>
      </c>
      <c r="P58" s="21">
        <v>1E-3</v>
      </c>
      <c r="Q58" s="21">
        <v>1E-3</v>
      </c>
      <c r="R58" s="21">
        <v>0</v>
      </c>
      <c r="S58" s="21">
        <v>1E-3</v>
      </c>
      <c r="T58" s="21">
        <v>1E-3</v>
      </c>
      <c r="U58" s="21">
        <v>0</v>
      </c>
      <c r="V58" s="21">
        <v>1E-3</v>
      </c>
      <c r="W58" s="21">
        <v>0</v>
      </c>
      <c r="X58" s="21">
        <v>0</v>
      </c>
      <c r="Y58" s="21">
        <v>1E-3</v>
      </c>
      <c r="Z58" s="21">
        <v>0</v>
      </c>
      <c r="AA58" s="21">
        <v>1E-3</v>
      </c>
      <c r="AB58" s="21">
        <v>1E-3</v>
      </c>
      <c r="AC58" s="21">
        <v>1E-3</v>
      </c>
      <c r="AD58" s="21">
        <v>0</v>
      </c>
      <c r="AE58" s="21">
        <v>1E-3</v>
      </c>
      <c r="AF58" s="21">
        <v>0</v>
      </c>
      <c r="AG58" s="21">
        <v>0</v>
      </c>
      <c r="AH58" s="19">
        <f t="shared" si="0"/>
        <v>1.6000000000000007E-2</v>
      </c>
    </row>
    <row r="59" spans="1:34" ht="15.75" thickBot="1" x14ac:dyDescent="0.3">
      <c r="A59" s="44" t="s">
        <v>38</v>
      </c>
      <c r="B59" s="17" t="s">
        <v>18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9">
        <f t="shared" si="0"/>
        <v>0</v>
      </c>
    </row>
    <row r="60" spans="1:34" ht="15.75" thickBot="1" x14ac:dyDescent="0.3">
      <c r="A60" s="44" t="s">
        <v>53</v>
      </c>
      <c r="B60" s="20" t="s">
        <v>19</v>
      </c>
      <c r="C60" s="21">
        <v>1E-3</v>
      </c>
      <c r="D60" s="21">
        <v>1E-3</v>
      </c>
      <c r="E60" s="21">
        <v>1E-3</v>
      </c>
      <c r="F60" s="21">
        <v>1E-3</v>
      </c>
      <c r="G60" s="21">
        <v>1E-3</v>
      </c>
      <c r="H60" s="21">
        <v>1E-3</v>
      </c>
      <c r="I60" s="21">
        <v>1E-3</v>
      </c>
      <c r="J60" s="21">
        <v>1E-3</v>
      </c>
      <c r="K60" s="21">
        <v>1E-3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1E-3</v>
      </c>
      <c r="S60" s="21">
        <v>0</v>
      </c>
      <c r="T60" s="21">
        <v>0</v>
      </c>
      <c r="U60" s="21">
        <v>1E-3</v>
      </c>
      <c r="V60" s="21">
        <v>0</v>
      </c>
      <c r="W60" s="21">
        <v>1E-3</v>
      </c>
      <c r="X60" s="21">
        <v>1E-3</v>
      </c>
      <c r="Y60" s="21">
        <v>0</v>
      </c>
      <c r="Z60" s="21">
        <v>1E-3</v>
      </c>
      <c r="AA60" s="21">
        <v>0</v>
      </c>
      <c r="AB60" s="21">
        <v>0</v>
      </c>
      <c r="AC60" s="21">
        <v>0</v>
      </c>
      <c r="AD60" s="21">
        <v>1E-3</v>
      </c>
      <c r="AE60" s="21">
        <v>0</v>
      </c>
      <c r="AF60" s="21">
        <v>1E-3</v>
      </c>
      <c r="AG60" s="21">
        <v>1E-3</v>
      </c>
      <c r="AH60" s="19">
        <f t="shared" si="0"/>
        <v>1.7000000000000008E-2</v>
      </c>
    </row>
    <row r="61" spans="1:34" ht="15.75" thickBot="1" x14ac:dyDescent="0.3">
      <c r="A61" s="44" t="s">
        <v>39</v>
      </c>
      <c r="B61" s="17" t="s">
        <v>18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9">
        <f t="shared" si="0"/>
        <v>0</v>
      </c>
    </row>
    <row r="62" spans="1:34" ht="15.75" thickBot="1" x14ac:dyDescent="0.3">
      <c r="A62" s="44" t="s">
        <v>54</v>
      </c>
      <c r="B62" s="20" t="s">
        <v>19</v>
      </c>
      <c r="C62" s="21">
        <v>0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1E-3</v>
      </c>
      <c r="M62" s="21">
        <v>1E-3</v>
      </c>
      <c r="N62" s="21">
        <v>1E-3</v>
      </c>
      <c r="O62" s="21">
        <v>1E-3</v>
      </c>
      <c r="P62" s="21">
        <v>1E-3</v>
      </c>
      <c r="Q62" s="21">
        <v>1E-3</v>
      </c>
      <c r="R62" s="21">
        <v>0</v>
      </c>
      <c r="S62" s="21">
        <v>1E-3</v>
      </c>
      <c r="T62" s="21">
        <v>1E-3</v>
      </c>
      <c r="U62" s="21">
        <v>0</v>
      </c>
      <c r="V62" s="21">
        <v>1E-3</v>
      </c>
      <c r="W62" s="21">
        <v>0</v>
      </c>
      <c r="X62" s="21">
        <v>0</v>
      </c>
      <c r="Y62" s="21">
        <v>1E-3</v>
      </c>
      <c r="Z62" s="21">
        <v>0</v>
      </c>
      <c r="AA62" s="21">
        <v>1E-3</v>
      </c>
      <c r="AB62" s="21">
        <v>1E-3</v>
      </c>
      <c r="AC62" s="21">
        <v>1E-3</v>
      </c>
      <c r="AD62" s="21">
        <v>0</v>
      </c>
      <c r="AE62" s="21">
        <v>1E-3</v>
      </c>
      <c r="AF62" s="21">
        <v>0</v>
      </c>
      <c r="AG62" s="21">
        <v>0</v>
      </c>
      <c r="AH62" s="19">
        <f t="shared" si="0"/>
        <v>1.4000000000000005E-2</v>
      </c>
    </row>
    <row r="63" spans="1:34" ht="15.75" thickBot="1" x14ac:dyDescent="0.3">
      <c r="A63" s="44" t="s">
        <v>40</v>
      </c>
      <c r="B63" s="17" t="s">
        <v>18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9">
        <f t="shared" si="0"/>
        <v>0</v>
      </c>
    </row>
    <row r="64" spans="1:34" ht="15.75" thickBot="1" x14ac:dyDescent="0.3">
      <c r="A64" s="44" t="s">
        <v>55</v>
      </c>
      <c r="B64" s="20" t="s">
        <v>19</v>
      </c>
      <c r="C64" s="21">
        <v>4.3449999999999998</v>
      </c>
      <c r="D64" s="21">
        <v>4.4390000000000001</v>
      </c>
      <c r="E64" s="21">
        <v>4.4420000000000002</v>
      </c>
      <c r="F64" s="21">
        <v>4.7460000000000004</v>
      </c>
      <c r="G64" s="21">
        <v>4.6470000000000002</v>
      </c>
      <c r="H64" s="21">
        <v>4.5979999999999999</v>
      </c>
      <c r="I64" s="21">
        <v>4.2050000000000001</v>
      </c>
      <c r="J64" s="21">
        <v>4.3010000000000002</v>
      </c>
      <c r="K64" s="21">
        <v>4.21</v>
      </c>
      <c r="L64" s="21">
        <v>4.4169999999999998</v>
      </c>
      <c r="M64" s="21">
        <v>4.4119999999999999</v>
      </c>
      <c r="N64" s="21">
        <v>4.5410000000000004</v>
      </c>
      <c r="O64" s="21">
        <v>4.5810000000000004</v>
      </c>
      <c r="P64" s="21">
        <v>4.6189999999999998</v>
      </c>
      <c r="Q64" s="21">
        <v>4.5709999999999997</v>
      </c>
      <c r="R64" s="21">
        <v>4.2229999999999999</v>
      </c>
      <c r="S64" s="21">
        <v>4.7640000000000002</v>
      </c>
      <c r="T64" s="21">
        <v>4.7430000000000003</v>
      </c>
      <c r="U64" s="21">
        <v>4.8869999999999996</v>
      </c>
      <c r="V64" s="21">
        <v>4.9909999999999997</v>
      </c>
      <c r="W64" s="21">
        <v>5.1989999999999998</v>
      </c>
      <c r="X64" s="21">
        <v>5.7629999999999999</v>
      </c>
      <c r="Y64" s="21">
        <v>5.83</v>
      </c>
      <c r="Z64" s="21">
        <v>5.843</v>
      </c>
      <c r="AA64" s="21">
        <v>6.0510000000000002</v>
      </c>
      <c r="AB64" s="21">
        <v>6.2</v>
      </c>
      <c r="AC64" s="21">
        <v>6.3940000000000001</v>
      </c>
      <c r="AD64" s="21">
        <v>6.327</v>
      </c>
      <c r="AE64" s="21">
        <v>6.5570000000000004</v>
      </c>
      <c r="AF64" s="21">
        <v>6.6050000000000004</v>
      </c>
      <c r="AG64" s="21">
        <v>6.7590000000000003</v>
      </c>
      <c r="AH64" s="19">
        <f t="shared" si="0"/>
        <v>158.20999999999998</v>
      </c>
    </row>
    <row r="65" spans="1:34" ht="15.75" thickBot="1" x14ac:dyDescent="0.3">
      <c r="A65" s="44" t="s">
        <v>41</v>
      </c>
      <c r="B65" s="17" t="s">
        <v>18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9">
        <f t="shared" si="0"/>
        <v>0</v>
      </c>
    </row>
    <row r="66" spans="1:34" ht="15.75" thickBot="1" x14ac:dyDescent="0.3">
      <c r="A66" s="44" t="s">
        <v>56</v>
      </c>
      <c r="B66" s="20" t="s">
        <v>19</v>
      </c>
      <c r="C66" s="21">
        <v>6.657</v>
      </c>
      <c r="D66" s="21">
        <v>6.601</v>
      </c>
      <c r="E66" s="21">
        <v>6.7460000000000004</v>
      </c>
      <c r="F66" s="21">
        <v>7.0010000000000003</v>
      </c>
      <c r="G66" s="21">
        <v>6.9050000000000002</v>
      </c>
      <c r="H66" s="21">
        <v>6.79</v>
      </c>
      <c r="I66" s="21">
        <v>6.1390000000000002</v>
      </c>
      <c r="J66" s="21">
        <v>6.2279999999999998</v>
      </c>
      <c r="K66" s="21">
        <v>6.1079999999999997</v>
      </c>
      <c r="L66" s="21">
        <v>6.2119999999999997</v>
      </c>
      <c r="M66" s="21">
        <v>6.1870000000000003</v>
      </c>
      <c r="N66" s="21">
        <v>6.2140000000000004</v>
      </c>
      <c r="O66" s="21">
        <v>6.2380000000000004</v>
      </c>
      <c r="P66" s="21">
        <v>6.2119999999999997</v>
      </c>
      <c r="Q66" s="21">
        <v>6.1150000000000002</v>
      </c>
      <c r="R66" s="21">
        <v>5.548</v>
      </c>
      <c r="S66" s="21">
        <v>6.1260000000000003</v>
      </c>
      <c r="T66" s="21">
        <v>6.0839999999999996</v>
      </c>
      <c r="U66" s="21">
        <v>6.1520000000000001</v>
      </c>
      <c r="V66" s="21">
        <v>6.1520000000000001</v>
      </c>
      <c r="W66" s="21">
        <v>6.27</v>
      </c>
      <c r="X66" s="21">
        <v>6.94</v>
      </c>
      <c r="Y66" s="21">
        <v>6.8929999999999998</v>
      </c>
      <c r="Z66" s="21">
        <v>6.77</v>
      </c>
      <c r="AA66" s="21">
        <v>6.9429999999999996</v>
      </c>
      <c r="AB66" s="21">
        <v>6.915</v>
      </c>
      <c r="AC66" s="21">
        <v>6.968</v>
      </c>
      <c r="AD66" s="21">
        <v>6.8310000000000004</v>
      </c>
      <c r="AE66" s="21">
        <v>6.915</v>
      </c>
      <c r="AF66" s="21">
        <v>6.8920000000000003</v>
      </c>
      <c r="AG66" s="21">
        <v>6.8840000000000003</v>
      </c>
      <c r="AH66" s="19">
        <f t="shared" si="0"/>
        <v>201.63599999999997</v>
      </c>
    </row>
    <row r="67" spans="1:34" ht="15.75" thickBot="1" x14ac:dyDescent="0.3">
      <c r="A67" s="37" t="s">
        <v>42</v>
      </c>
      <c r="B67" s="17" t="s">
        <v>18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9">
        <f t="shared" si="0"/>
        <v>0</v>
      </c>
    </row>
    <row r="68" spans="1:34" ht="15.75" thickBot="1" x14ac:dyDescent="0.3">
      <c r="A68" s="37" t="s">
        <v>57</v>
      </c>
      <c r="B68" s="20" t="s">
        <v>19</v>
      </c>
      <c r="C68" s="21">
        <v>6.7389999999999999</v>
      </c>
      <c r="D68" s="21">
        <v>6.6580000000000004</v>
      </c>
      <c r="E68" s="21">
        <v>7.0830000000000002</v>
      </c>
      <c r="F68" s="21">
        <v>7.069</v>
      </c>
      <c r="G68" s="21">
        <v>7.0250000000000004</v>
      </c>
      <c r="H68" s="21">
        <v>6.851</v>
      </c>
      <c r="I68" s="21">
        <v>6.23</v>
      </c>
      <c r="J68" s="21">
        <v>6.2880000000000003</v>
      </c>
      <c r="K68" s="21">
        <v>6.157</v>
      </c>
      <c r="L68" s="21">
        <v>6.2939999999999996</v>
      </c>
      <c r="M68" s="21">
        <v>6.1829999999999998</v>
      </c>
      <c r="N68" s="21">
        <v>6.3</v>
      </c>
      <c r="O68" s="21">
        <v>6.3319999999999999</v>
      </c>
      <c r="P68" s="21">
        <v>6.1879999999999997</v>
      </c>
      <c r="Q68" s="21">
        <v>6.1760000000000002</v>
      </c>
      <c r="R68" s="21">
        <v>5.6040000000000001</v>
      </c>
      <c r="S68" s="21">
        <v>6.1779999999999999</v>
      </c>
      <c r="T68" s="21">
        <v>6.149</v>
      </c>
      <c r="U68" s="21">
        <v>6.2119999999999997</v>
      </c>
      <c r="V68" s="21">
        <v>6.226</v>
      </c>
      <c r="W68" s="21">
        <v>6.2380000000000004</v>
      </c>
      <c r="X68" s="21">
        <v>7.2930000000000001</v>
      </c>
      <c r="Y68" s="21">
        <v>7.2670000000000003</v>
      </c>
      <c r="Z68" s="21">
        <v>6.8319999999999999</v>
      </c>
      <c r="AA68" s="21">
        <v>7.0090000000000003</v>
      </c>
      <c r="AB68" s="21">
        <v>6.9729999999999999</v>
      </c>
      <c r="AC68" s="21">
        <v>7.0270000000000001</v>
      </c>
      <c r="AD68" s="21">
        <v>6.907</v>
      </c>
      <c r="AE68" s="21">
        <v>7.0119999999999996</v>
      </c>
      <c r="AF68" s="21">
        <v>6.9630000000000001</v>
      </c>
      <c r="AG68" s="21">
        <v>6.9470000000000001</v>
      </c>
      <c r="AH68" s="19">
        <f t="shared" si="0"/>
        <v>204.41000000000003</v>
      </c>
    </row>
    <row r="69" spans="1:34" ht="15.75" thickBot="1" x14ac:dyDescent="0.3">
      <c r="A69" s="37" t="s">
        <v>43</v>
      </c>
      <c r="B69" s="17" t="s">
        <v>18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9">
        <f t="shared" si="0"/>
        <v>0</v>
      </c>
    </row>
    <row r="70" spans="1:34" ht="15.75" thickBot="1" x14ac:dyDescent="0.3">
      <c r="A70" s="37" t="s">
        <v>58</v>
      </c>
      <c r="B70" s="20" t="s">
        <v>19</v>
      </c>
      <c r="C70" s="21">
        <v>6.78</v>
      </c>
      <c r="D70" s="21">
        <v>6.7409999999999997</v>
      </c>
      <c r="E70" s="21">
        <v>7.1790000000000003</v>
      </c>
      <c r="F70" s="21">
        <v>7.1449999999999996</v>
      </c>
      <c r="G70" s="21">
        <v>7.0640000000000001</v>
      </c>
      <c r="H70" s="21">
        <v>6.91</v>
      </c>
      <c r="I70" s="21">
        <v>6.2859999999999996</v>
      </c>
      <c r="J70" s="21">
        <v>6.34</v>
      </c>
      <c r="K70" s="21">
        <v>6.21</v>
      </c>
      <c r="L70" s="21">
        <v>6.2629999999999999</v>
      </c>
      <c r="M70" s="21">
        <v>6.2469999999999999</v>
      </c>
      <c r="N70" s="21">
        <v>6.32</v>
      </c>
      <c r="O70" s="21">
        <v>6.3689999999999998</v>
      </c>
      <c r="P70" s="21">
        <v>6.2210000000000001</v>
      </c>
      <c r="Q70" s="21">
        <v>6.22</v>
      </c>
      <c r="R70" s="21">
        <v>5.6680000000000001</v>
      </c>
      <c r="S70" s="21">
        <v>6.218</v>
      </c>
      <c r="T70" s="21">
        <v>6.1689999999999996</v>
      </c>
      <c r="U70" s="21">
        <v>6.234</v>
      </c>
      <c r="V70" s="21">
        <v>6.2489999999999997</v>
      </c>
      <c r="W70" s="21">
        <v>6.2789999999999999</v>
      </c>
      <c r="X70" s="21">
        <v>7.1749999999999998</v>
      </c>
      <c r="Y70" s="21">
        <v>7.2750000000000004</v>
      </c>
      <c r="Z70" s="21">
        <v>6.9020000000000001</v>
      </c>
      <c r="AA70" s="21">
        <v>7.0590000000000002</v>
      </c>
      <c r="AB70" s="21">
        <v>7.0330000000000004</v>
      </c>
      <c r="AC70" s="21">
        <v>7.0839999999999996</v>
      </c>
      <c r="AD70" s="21">
        <v>6.95</v>
      </c>
      <c r="AE70" s="21">
        <v>6.9779999999999998</v>
      </c>
      <c r="AF70" s="21">
        <v>7.0190000000000001</v>
      </c>
      <c r="AG70" s="21">
        <v>7.0069999999999997</v>
      </c>
      <c r="AH70" s="19">
        <f t="shared" si="0"/>
        <v>205.59400000000002</v>
      </c>
    </row>
    <row r="71" spans="1:34" ht="15.75" thickBot="1" x14ac:dyDescent="0.3">
      <c r="A71" s="45" t="s">
        <v>16</v>
      </c>
      <c r="B71" s="17" t="s">
        <v>18</v>
      </c>
      <c r="C71" s="18">
        <f>SUM(C23,C25,C27,C29,C31,C33,C35,C37,C39,C41,C43,C45,C47,C49,C51,C53,C55,C57,C59,C61,C63,C65,C67,C69)</f>
        <v>0</v>
      </c>
      <c r="D71" s="18">
        <f>SUM(D23,D25,D27,D29,D31,D33,D35,D37,D39,D41,D43,D45,D47,D49,D51,D53,D55,D57,D59,D61,D63,D65,D67,D69)</f>
        <v>0</v>
      </c>
      <c r="E71" s="18">
        <f t="shared" ref="E71:AG71" si="1">SUM(E23,E25,E27,E29,E31,E33,E35,E37,E39,E41,E43,E45,E47,E49,E51,E53,E55,E57,E59,E61,E63,E65,E67,E69)</f>
        <v>0</v>
      </c>
      <c r="F71" s="18">
        <f t="shared" si="1"/>
        <v>0</v>
      </c>
      <c r="G71" s="18">
        <f t="shared" si="1"/>
        <v>0</v>
      </c>
      <c r="H71" s="18">
        <f t="shared" si="1"/>
        <v>0</v>
      </c>
      <c r="I71" s="18">
        <f t="shared" si="1"/>
        <v>0</v>
      </c>
      <c r="J71" s="18">
        <f t="shared" si="1"/>
        <v>0</v>
      </c>
      <c r="K71" s="18">
        <f t="shared" si="1"/>
        <v>0</v>
      </c>
      <c r="L71" s="18">
        <f t="shared" si="1"/>
        <v>0</v>
      </c>
      <c r="M71" s="18">
        <f t="shared" si="1"/>
        <v>0</v>
      </c>
      <c r="N71" s="18">
        <f t="shared" si="1"/>
        <v>0</v>
      </c>
      <c r="O71" s="18">
        <f t="shared" si="1"/>
        <v>0</v>
      </c>
      <c r="P71" s="18">
        <f t="shared" si="1"/>
        <v>0</v>
      </c>
      <c r="Q71" s="18">
        <f t="shared" si="1"/>
        <v>0</v>
      </c>
      <c r="R71" s="18">
        <f t="shared" si="1"/>
        <v>0</v>
      </c>
      <c r="S71" s="18">
        <f t="shared" si="1"/>
        <v>0</v>
      </c>
      <c r="T71" s="18">
        <f t="shared" si="1"/>
        <v>0</v>
      </c>
      <c r="U71" s="18">
        <f t="shared" si="1"/>
        <v>0</v>
      </c>
      <c r="V71" s="18">
        <f t="shared" si="1"/>
        <v>0</v>
      </c>
      <c r="W71" s="18">
        <f t="shared" si="1"/>
        <v>0</v>
      </c>
      <c r="X71" s="18">
        <f t="shared" si="1"/>
        <v>0</v>
      </c>
      <c r="Y71" s="18">
        <f t="shared" si="1"/>
        <v>0</v>
      </c>
      <c r="Z71" s="18">
        <f t="shared" si="1"/>
        <v>0</v>
      </c>
      <c r="AA71" s="18">
        <f t="shared" si="1"/>
        <v>0</v>
      </c>
      <c r="AB71" s="18">
        <f t="shared" si="1"/>
        <v>0</v>
      </c>
      <c r="AC71" s="18">
        <f t="shared" si="1"/>
        <v>0</v>
      </c>
      <c r="AD71" s="18">
        <f t="shared" si="1"/>
        <v>0</v>
      </c>
      <c r="AE71" s="18">
        <f t="shared" si="1"/>
        <v>0</v>
      </c>
      <c r="AF71" s="18">
        <f t="shared" si="1"/>
        <v>0</v>
      </c>
      <c r="AG71" s="18">
        <f t="shared" si="1"/>
        <v>0</v>
      </c>
      <c r="AH71" s="18">
        <f>SUM(C71:AG71)</f>
        <v>0</v>
      </c>
    </row>
    <row r="72" spans="1:34" x14ac:dyDescent="0.25">
      <c r="A72" s="46" t="s">
        <v>31</v>
      </c>
      <c r="B72" s="22" t="s">
        <v>19</v>
      </c>
      <c r="C72" s="19">
        <f>SUM(C24,C26,C28,C30,C32,C34,C36,C38,C40,C42,C44,C46,C48,C50,C52,C54,C56,C58,C60,C62,C64,C66,C68,C70)</f>
        <v>60.269999999999975</v>
      </c>
      <c r="D72" s="19">
        <f t="shared" ref="D72:AG72" si="2">SUM(D24,D26,D28,D30,D32,D34,D36,D38,D40,D42,D44,D46,D48,D50,D52,D54,D56,D58,D60,D62,D64,D66,D68,D70)</f>
        <v>60.300999999999981</v>
      </c>
      <c r="E72" s="19">
        <f t="shared" si="2"/>
        <v>61.647999999999982</v>
      </c>
      <c r="F72" s="19">
        <f t="shared" si="2"/>
        <v>64.189999999999984</v>
      </c>
      <c r="G72" s="19">
        <f t="shared" si="2"/>
        <v>62.670999999999985</v>
      </c>
      <c r="H72" s="19">
        <f t="shared" si="2"/>
        <v>62.641999999999982</v>
      </c>
      <c r="I72" s="19">
        <f t="shared" si="2"/>
        <v>60.628999999999991</v>
      </c>
      <c r="J72" s="19">
        <f t="shared" si="2"/>
        <v>57.36999999999999</v>
      </c>
      <c r="K72" s="19">
        <f t="shared" si="2"/>
        <v>56.981999999999978</v>
      </c>
      <c r="L72" s="19">
        <f t="shared" si="2"/>
        <v>57.332999999999977</v>
      </c>
      <c r="M72" s="19">
        <f t="shared" si="2"/>
        <v>57.341999999999985</v>
      </c>
      <c r="N72" s="19">
        <f t="shared" si="2"/>
        <v>57.557999999999986</v>
      </c>
      <c r="O72" s="19">
        <f t="shared" si="2"/>
        <v>58.222999999999985</v>
      </c>
      <c r="P72" s="19">
        <f t="shared" si="2"/>
        <v>57.335999999999999</v>
      </c>
      <c r="Q72" s="19">
        <f t="shared" si="2"/>
        <v>58.063999999999986</v>
      </c>
      <c r="R72" s="19">
        <f t="shared" si="2"/>
        <v>55.786999999999985</v>
      </c>
      <c r="S72" s="19">
        <f t="shared" si="2"/>
        <v>56.873999999999981</v>
      </c>
      <c r="T72" s="19">
        <f t="shared" si="2"/>
        <v>57.637999999999991</v>
      </c>
      <c r="U72" s="19">
        <f t="shared" si="2"/>
        <v>57.974999999999987</v>
      </c>
      <c r="V72" s="19">
        <f t="shared" si="2"/>
        <v>58.333999999999982</v>
      </c>
      <c r="W72" s="19">
        <f t="shared" si="2"/>
        <v>59.22499999999998</v>
      </c>
      <c r="X72" s="19">
        <f t="shared" si="2"/>
        <v>64.876999999999981</v>
      </c>
      <c r="Y72" s="19">
        <f t="shared" si="2"/>
        <v>68.300999999999988</v>
      </c>
      <c r="Z72" s="19">
        <f t="shared" si="2"/>
        <v>67.57699999999997</v>
      </c>
      <c r="AA72" s="19">
        <f t="shared" si="2"/>
        <v>66.743999999999986</v>
      </c>
      <c r="AB72" s="19">
        <f t="shared" si="2"/>
        <v>67.037999999999982</v>
      </c>
      <c r="AC72" s="19">
        <f t="shared" si="2"/>
        <v>66.701999999999984</v>
      </c>
      <c r="AD72" s="19">
        <f t="shared" si="2"/>
        <v>65.502999999999986</v>
      </c>
      <c r="AE72" s="19">
        <f t="shared" si="2"/>
        <v>67.501999999999981</v>
      </c>
      <c r="AF72" s="19">
        <f t="shared" si="2"/>
        <v>67.753</v>
      </c>
      <c r="AG72" s="19">
        <f t="shared" si="2"/>
        <v>68.105999999999995</v>
      </c>
      <c r="AH72" s="19">
        <f>SUM(C72:AG72)</f>
        <v>1908.4949999999992</v>
      </c>
    </row>
    <row r="73" spans="1:34" x14ac:dyDescent="0.25">
      <c r="A73" s="24"/>
      <c r="B73" s="25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 spans="1:34" x14ac:dyDescent="0.25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47" t="s">
        <v>69</v>
      </c>
      <c r="X74" s="47"/>
      <c r="Y74" s="47" t="s">
        <v>70</v>
      </c>
      <c r="Z74" s="47"/>
      <c r="AA74" s="47" t="s">
        <v>65</v>
      </c>
      <c r="AB74" s="47"/>
      <c r="AC74" s="47" t="s">
        <v>66</v>
      </c>
      <c r="AD74" s="47"/>
      <c r="AE74" s="47" t="s">
        <v>67</v>
      </c>
      <c r="AF74" s="47"/>
      <c r="AG74" s="47" t="s">
        <v>68</v>
      </c>
      <c r="AH74" s="47"/>
    </row>
    <row r="75" spans="1:34" ht="15" customHeight="1" x14ac:dyDescent="0.25">
      <c r="A75" s="53" t="s">
        <v>44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2"/>
      <c r="U75" s="49" t="s">
        <v>71</v>
      </c>
      <c r="V75" s="51"/>
      <c r="W75" s="43">
        <v>3022.7759999999998</v>
      </c>
      <c r="X75" s="43"/>
      <c r="Y75" s="43"/>
      <c r="Z75" s="43"/>
      <c r="AA75" s="43">
        <v>3316.308</v>
      </c>
      <c r="AB75" s="43"/>
      <c r="AC75" s="43">
        <v>3.371</v>
      </c>
      <c r="AD75" s="43"/>
      <c r="AE75" s="43"/>
      <c r="AF75" s="43"/>
      <c r="AG75" s="43"/>
      <c r="AH75" s="43"/>
    </row>
    <row r="76" spans="1:34" x14ac:dyDescent="0.25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49" t="s">
        <v>45</v>
      </c>
      <c r="Q76" s="49"/>
      <c r="R76" s="43">
        <v>1</v>
      </c>
      <c r="S76" s="43"/>
      <c r="U76" s="49" t="s">
        <v>72</v>
      </c>
      <c r="V76" s="51"/>
      <c r="W76" s="43">
        <v>5007.7150000000001</v>
      </c>
      <c r="X76" s="43"/>
      <c r="Y76" s="43"/>
      <c r="Z76" s="43"/>
      <c r="AA76" s="43">
        <v>5378.3779999999997</v>
      </c>
      <c r="AB76" s="43"/>
      <c r="AC76" s="43">
        <v>5.6150000000000002</v>
      </c>
      <c r="AD76" s="43"/>
      <c r="AE76" s="43"/>
      <c r="AF76" s="43"/>
      <c r="AG76" s="43"/>
      <c r="AH76" s="43"/>
    </row>
    <row r="77" spans="1:34" x14ac:dyDescent="0.25">
      <c r="A77" s="1" t="s">
        <v>46</v>
      </c>
      <c r="B77" s="1"/>
      <c r="C77" s="2"/>
      <c r="D77" s="2"/>
      <c r="E77" s="2"/>
      <c r="F77" s="2" t="s">
        <v>47</v>
      </c>
      <c r="G77" s="2"/>
      <c r="H77" s="40"/>
      <c r="I77" s="41"/>
      <c r="J77" s="41"/>
      <c r="K77" s="41"/>
      <c r="L77" s="41"/>
      <c r="M77" s="41"/>
      <c r="N77" s="42"/>
      <c r="O77" s="2"/>
      <c r="P77" s="49" t="s">
        <v>73</v>
      </c>
      <c r="Q77" s="49"/>
      <c r="R77" s="43">
        <v>7.5839999999999996</v>
      </c>
      <c r="S77" s="43"/>
      <c r="U77" s="49" t="s">
        <v>48</v>
      </c>
      <c r="V77" s="51"/>
      <c r="W77" s="43">
        <v>1984.9390000000001</v>
      </c>
      <c r="X77" s="43"/>
      <c r="Y77" s="43">
        <v>0</v>
      </c>
      <c r="Z77" s="43"/>
      <c r="AA77" s="43">
        <v>2062.0700000000002</v>
      </c>
      <c r="AB77" s="43"/>
      <c r="AC77" s="43">
        <v>2.2440000000000002</v>
      </c>
      <c r="AD77" s="43"/>
      <c r="AE77" s="43">
        <v>0</v>
      </c>
      <c r="AF77" s="43"/>
      <c r="AG77" s="43">
        <v>0</v>
      </c>
      <c r="AH77" s="43"/>
    </row>
    <row r="78" spans="1:34" x14ac:dyDescent="0.25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49" t="s">
        <v>75</v>
      </c>
      <c r="Q78" s="49"/>
      <c r="R78" s="50" t="s">
        <v>81</v>
      </c>
      <c r="S78" s="50"/>
      <c r="U78" s="49" t="s">
        <v>49</v>
      </c>
      <c r="V78" s="51"/>
      <c r="W78" s="43">
        <f>AH72</f>
        <v>1908.4949999999992</v>
      </c>
      <c r="X78" s="43"/>
      <c r="Y78" s="43">
        <f>AH71</f>
        <v>0</v>
      </c>
      <c r="Z78" s="43"/>
      <c r="AA78" s="43">
        <v>1979.961</v>
      </c>
      <c r="AB78" s="43"/>
      <c r="AC78" s="43">
        <v>2.181</v>
      </c>
      <c r="AD78" s="43"/>
      <c r="AE78" s="43">
        <v>0</v>
      </c>
      <c r="AF78" s="43"/>
      <c r="AG78" s="43">
        <v>0</v>
      </c>
      <c r="AH78" s="43"/>
    </row>
    <row r="79" spans="1:34" x14ac:dyDescent="0.25">
      <c r="A79" s="1" t="s">
        <v>50</v>
      </c>
      <c r="B79" s="1"/>
      <c r="C79" s="2"/>
      <c r="D79" s="2"/>
      <c r="E79" s="2"/>
      <c r="F79" s="2" t="s">
        <v>47</v>
      </c>
      <c r="G79" s="2"/>
      <c r="H79" s="40"/>
      <c r="I79" s="41"/>
      <c r="J79" s="41"/>
      <c r="K79" s="41"/>
      <c r="L79" s="41"/>
      <c r="M79" s="41"/>
      <c r="N79" s="42"/>
      <c r="O79" s="2"/>
      <c r="P79" s="49" t="s">
        <v>74</v>
      </c>
      <c r="Q79" s="49"/>
      <c r="R79" s="43"/>
      <c r="S79" s="43"/>
      <c r="U79" s="49" t="s">
        <v>64</v>
      </c>
      <c r="V79" s="51"/>
      <c r="W79" s="43">
        <f>W77-W78</f>
        <v>76.444000000000869</v>
      </c>
      <c r="X79" s="43"/>
      <c r="Y79" s="43">
        <f>Y77-Y78</f>
        <v>0</v>
      </c>
      <c r="Z79" s="43"/>
      <c r="AA79" s="43">
        <v>82.108999999999995</v>
      </c>
      <c r="AB79" s="43"/>
      <c r="AC79" s="43">
        <v>6.3E-2</v>
      </c>
      <c r="AD79" s="43"/>
      <c r="AE79" s="43">
        <v>0</v>
      </c>
      <c r="AF79" s="43"/>
      <c r="AG79" s="43">
        <v>0</v>
      </c>
      <c r="AH79" s="43"/>
    </row>
    <row r="80" spans="1:34" x14ac:dyDescent="0.25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49" t="s">
        <v>76</v>
      </c>
      <c r="Q80" s="49"/>
      <c r="R80" s="50"/>
      <c r="S80" s="50"/>
      <c r="U80" s="49" t="s">
        <v>51</v>
      </c>
      <c r="V80" s="51"/>
      <c r="W80" s="52">
        <f>IF(W77&gt;0,W79/W77,0)</f>
        <v>3.8512014726901363E-2</v>
      </c>
      <c r="X80" s="52"/>
      <c r="Y80" s="52">
        <f>IF(Y77&gt;0,Y79/Y77,0)</f>
        <v>0</v>
      </c>
      <c r="Z80" s="52"/>
      <c r="AA80" s="48">
        <v>0.04</v>
      </c>
      <c r="AB80" s="48"/>
      <c r="AC80" s="48">
        <v>2.8000000000000001E-2</v>
      </c>
      <c r="AD80" s="48"/>
      <c r="AE80" s="48">
        <v>0</v>
      </c>
      <c r="AF80" s="48"/>
      <c r="AG80" s="48">
        <v>0</v>
      </c>
      <c r="AH80" s="48"/>
    </row>
    <row r="81" spans="1:19" x14ac:dyDescent="0.25">
      <c r="A81" s="1" t="s">
        <v>52</v>
      </c>
      <c r="B81" s="1"/>
      <c r="C81" s="2"/>
      <c r="D81" s="2"/>
      <c r="E81" s="2"/>
      <c r="F81" s="2" t="s">
        <v>47</v>
      </c>
      <c r="G81" s="2"/>
      <c r="H81" s="40"/>
      <c r="I81" s="41"/>
      <c r="J81" s="41"/>
      <c r="K81" s="41"/>
      <c r="L81" s="41"/>
      <c r="M81" s="41"/>
      <c r="N81" s="42"/>
      <c r="O81" s="2"/>
      <c r="P81" s="2"/>
      <c r="Q81" s="2"/>
      <c r="R81" s="2"/>
      <c r="S81" s="2"/>
    </row>
  </sheetData>
  <mergeCells count="138">
    <mergeCell ref="A75:N75"/>
    <mergeCell ref="H77:N77"/>
    <mergeCell ref="H79:N79"/>
    <mergeCell ref="AE74:AF74"/>
    <mergeCell ref="AG74:AH74"/>
    <mergeCell ref="AG77:AH77"/>
    <mergeCell ref="AG78:AH78"/>
    <mergeCell ref="AG79:AH79"/>
    <mergeCell ref="AG80:AH80"/>
    <mergeCell ref="U75:V75"/>
    <mergeCell ref="W75:X75"/>
    <mergeCell ref="Y75:Z75"/>
    <mergeCell ref="AA75:AB75"/>
    <mergeCell ref="AC75:AD75"/>
    <mergeCell ref="AE75:AF75"/>
    <mergeCell ref="AG75:AH75"/>
    <mergeCell ref="U76:V76"/>
    <mergeCell ref="W76:X76"/>
    <mergeCell ref="Y76:Z76"/>
    <mergeCell ref="Y77:Z77"/>
    <mergeCell ref="Y78:Z78"/>
    <mergeCell ref="Y79:Z79"/>
    <mergeCell ref="Y80:Z80"/>
    <mergeCell ref="AA74:AB74"/>
    <mergeCell ref="AA76:AB76"/>
    <mergeCell ref="U77:V77"/>
    <mergeCell ref="U78:V78"/>
    <mergeCell ref="U79:V79"/>
    <mergeCell ref="U80:V80"/>
    <mergeCell ref="W77:X77"/>
    <mergeCell ref="W78:X78"/>
    <mergeCell ref="W79:X79"/>
    <mergeCell ref="W80:X80"/>
    <mergeCell ref="L7:N7"/>
    <mergeCell ref="L9:N9"/>
    <mergeCell ref="P7:R7"/>
    <mergeCell ref="P9:R9"/>
    <mergeCell ref="T7:V7"/>
    <mergeCell ref="T9:V9"/>
    <mergeCell ref="AE79:AF79"/>
    <mergeCell ref="AC80:AD80"/>
    <mergeCell ref="AE80:AF80"/>
    <mergeCell ref="P77:Q77"/>
    <mergeCell ref="R77:S77"/>
    <mergeCell ref="AC77:AD77"/>
    <mergeCell ref="AE77:AF77"/>
    <mergeCell ref="P76:Q76"/>
    <mergeCell ref="R76:S76"/>
    <mergeCell ref="AC78:AD78"/>
    <mergeCell ref="AE78:AF78"/>
    <mergeCell ref="P78:Q78"/>
    <mergeCell ref="R78:S78"/>
    <mergeCell ref="AC79:AD79"/>
    <mergeCell ref="P79:Q79"/>
    <mergeCell ref="R79:S79"/>
    <mergeCell ref="P80:Q80"/>
    <mergeCell ref="R80:S80"/>
    <mergeCell ref="AG21:AG22"/>
    <mergeCell ref="H81:N81"/>
    <mergeCell ref="AC76:AD76"/>
    <mergeCell ref="AE76:AF76"/>
    <mergeCell ref="AG76:AH76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W74:X74"/>
    <mergeCell ref="Y74:Z74"/>
    <mergeCell ref="AC74:AD74"/>
    <mergeCell ref="AA77:AB77"/>
    <mergeCell ref="AA78:AB78"/>
    <mergeCell ref="AA79:AB79"/>
    <mergeCell ref="AA80:AB80"/>
    <mergeCell ref="M21:M22"/>
    <mergeCell ref="A37:A38"/>
    <mergeCell ref="A39:A40"/>
    <mergeCell ref="A41:A42"/>
    <mergeCell ref="A43:A44"/>
    <mergeCell ref="A45:A46"/>
    <mergeCell ref="A47:A48"/>
    <mergeCell ref="A35:A36"/>
    <mergeCell ref="AF21:AF22"/>
    <mergeCell ref="A25:A26"/>
    <mergeCell ref="A27:A28"/>
    <mergeCell ref="A29:A30"/>
    <mergeCell ref="A31:A32"/>
    <mergeCell ref="A33:A34"/>
    <mergeCell ref="D21:D22"/>
    <mergeCell ref="E21:E22"/>
    <mergeCell ref="AD21:AD22"/>
    <mergeCell ref="AE21:AE22"/>
    <mergeCell ref="N21:N22"/>
    <mergeCell ref="O21:O22"/>
    <mergeCell ref="P21:P22"/>
    <mergeCell ref="Q21:Q22"/>
    <mergeCell ref="A23:A24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A5:AB5"/>
    <mergeCell ref="D7:F7"/>
    <mergeCell ref="H7:J7"/>
    <mergeCell ref="D9:F9"/>
    <mergeCell ref="H9:J9"/>
    <mergeCell ref="H13:O13"/>
    <mergeCell ref="F21:F22"/>
    <mergeCell ref="G21:G22"/>
    <mergeCell ref="H21:H22"/>
    <mergeCell ref="I21:I22"/>
    <mergeCell ref="J21:J22"/>
    <mergeCell ref="K21:K22"/>
    <mergeCell ref="D15:E15"/>
    <mergeCell ref="F15:G15"/>
    <mergeCell ref="H15:O15"/>
    <mergeCell ref="D17:E17"/>
    <mergeCell ref="A19:AH19"/>
    <mergeCell ref="A21:A22"/>
    <mergeCell ref="B21:B22"/>
    <mergeCell ref="C21:C22"/>
    <mergeCell ref="AH21:AH22"/>
    <mergeCell ref="V21:V22"/>
    <mergeCell ref="W21:W22"/>
    <mergeCell ref="L21:L2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2193681000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btopcu</dc:creator>
  <cp:lastModifiedBy>Hasan Bera DALCA</cp:lastModifiedBy>
  <cp:lastPrinted>2020-07-28T18:13:36Z</cp:lastPrinted>
  <dcterms:created xsi:type="dcterms:W3CDTF">2020-07-28T17:59:28Z</dcterms:created>
  <dcterms:modified xsi:type="dcterms:W3CDTF">2026-02-13T11:17:57Z</dcterms:modified>
</cp:coreProperties>
</file>