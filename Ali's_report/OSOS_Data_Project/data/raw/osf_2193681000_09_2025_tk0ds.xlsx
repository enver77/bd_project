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Data\hasanbera.dalca\Desktop\Yeni klasör\"/>
    </mc:Choice>
  </mc:AlternateContent>
  <xr:revisionPtr revIDLastSave="0" documentId="8_{C06915F6-B18E-4616-B32D-65D0920CFD5F}" xr6:coauthVersionLast="36" xr6:coauthVersionMax="36" xr10:uidLastSave="{00000000-0000-0000-0000-000000000000}"/>
  <bookViews>
    <workbookView xWindow="0" yWindow="0" windowWidth="28800" windowHeight="11940" xr2:uid="{DBB67B82-6D7A-4A35-853B-B4B2C0577BFA}"/>
  </bookViews>
  <sheets>
    <sheet name="2193681000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80" i="3" l="1"/>
  <c r="AG72" i="3"/>
  <c r="AF72" i="3"/>
  <c r="AE72" i="3"/>
  <c r="AD72" i="3"/>
  <c r="AC72" i="3"/>
  <c r="AB72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I72" i="3"/>
  <c r="H72" i="3"/>
  <c r="G72" i="3"/>
  <c r="F72" i="3"/>
  <c r="E72" i="3"/>
  <c r="D72" i="3"/>
  <c r="C72" i="3"/>
  <c r="AH72" i="3" s="1"/>
  <c r="W78" i="3" s="1"/>
  <c r="W79" i="3" s="1"/>
  <c r="W80" i="3" s="1"/>
  <c r="AG71" i="3"/>
  <c r="AF71" i="3"/>
  <c r="AE71" i="3"/>
  <c r="AD71" i="3"/>
  <c r="AC71" i="3"/>
  <c r="AB71" i="3"/>
  <c r="AA71" i="3"/>
  <c r="Z71" i="3"/>
  <c r="Y71" i="3"/>
  <c r="X71" i="3"/>
  <c r="W71" i="3"/>
  <c r="V71" i="3"/>
  <c r="U71" i="3"/>
  <c r="T71" i="3"/>
  <c r="S71" i="3"/>
  <c r="R71" i="3"/>
  <c r="Q71" i="3"/>
  <c r="P71" i="3"/>
  <c r="O71" i="3"/>
  <c r="N71" i="3"/>
  <c r="M71" i="3"/>
  <c r="L71" i="3"/>
  <c r="K71" i="3"/>
  <c r="J71" i="3"/>
  <c r="I71" i="3"/>
  <c r="H71" i="3"/>
  <c r="G71" i="3"/>
  <c r="F71" i="3"/>
  <c r="E71" i="3"/>
  <c r="D71" i="3"/>
  <c r="C71" i="3"/>
  <c r="AH71" i="3" s="1"/>
  <c r="Y78" i="3" s="1"/>
  <c r="Y79" i="3" s="1"/>
  <c r="AH70" i="3"/>
  <c r="AH69" i="3"/>
  <c r="AH68" i="3"/>
  <c r="AH67" i="3"/>
  <c r="AH66" i="3"/>
  <c r="AH65" i="3"/>
  <c r="AH64" i="3"/>
  <c r="AH63" i="3"/>
  <c r="AH62" i="3"/>
  <c r="AH61" i="3"/>
  <c r="AH60" i="3"/>
  <c r="AH59" i="3"/>
  <c r="AH58" i="3"/>
  <c r="AH57" i="3"/>
  <c r="AH56" i="3"/>
  <c r="AH55" i="3"/>
  <c r="AH54" i="3"/>
  <c r="AH53" i="3"/>
  <c r="AH52" i="3"/>
  <c r="AH51" i="3"/>
  <c r="AH50" i="3"/>
  <c r="AH49" i="3"/>
  <c r="AH48" i="3"/>
  <c r="AH47" i="3"/>
  <c r="AH46" i="3"/>
  <c r="AH45" i="3"/>
  <c r="AH44" i="3"/>
  <c r="AH43" i="3"/>
  <c r="AH42" i="3"/>
  <c r="AH41" i="3"/>
  <c r="AH40" i="3"/>
  <c r="AH39" i="3"/>
  <c r="AH38" i="3"/>
  <c r="AH37" i="3"/>
  <c r="AH36" i="3"/>
  <c r="AH35" i="3"/>
  <c r="AH34" i="3"/>
  <c r="AH33" i="3"/>
  <c r="AH32" i="3"/>
  <c r="AH31" i="3"/>
  <c r="AH30" i="3"/>
  <c r="AH29" i="3"/>
  <c r="AH28" i="3"/>
  <c r="AH27" i="3"/>
  <c r="AH26" i="3"/>
  <c r="AH25" i="3"/>
  <c r="AH24" i="3"/>
  <c r="AH23" i="3"/>
</calcChain>
</file>

<file path=xl/sharedStrings.xml><?xml version="1.0" encoding="utf-8"?>
<sst xmlns="http://schemas.openxmlformats.org/spreadsheetml/2006/main" count="144" uniqueCount="82">
  <si>
    <t>FORM NO:  OSF.07.02</t>
  </si>
  <si>
    <t>DENGELEME BİRİMİ SAYAÇ DEĞERLERİ FORMU</t>
  </si>
  <si>
    <t>(Sanal Uygulama İçin Ön Taslak)</t>
  </si>
  <si>
    <t>Ölçüm Sistemi Bilgileri</t>
  </si>
  <si>
    <t>Sayaç Kodu :</t>
  </si>
  <si>
    <t>Sayaç Seri No :</t>
  </si>
  <si>
    <t xml:space="preserve">Sayaçlardan </t>
  </si>
  <si>
    <t>İletim Şirketi</t>
  </si>
  <si>
    <t>Sorumlu Kurum :</t>
  </si>
  <si>
    <t>Dağıtım Şirketi</t>
  </si>
  <si>
    <t>Sayaç Adı:</t>
  </si>
  <si>
    <t>UEVÇB Kodu</t>
  </si>
  <si>
    <t>Referans :</t>
  </si>
  <si>
    <t>Uzlaştırma Dönemi :</t>
  </si>
  <si>
    <t>Aktif Enerji Değerleri (kWh)</t>
  </si>
  <si>
    <t>Saat/Gün</t>
  </si>
  <si>
    <t>Toplam</t>
  </si>
  <si>
    <t>00-01</t>
  </si>
  <si>
    <t>Veriş</t>
  </si>
  <si>
    <t>Çekiş</t>
  </si>
  <si>
    <t>01-02</t>
  </si>
  <si>
    <t>02-03</t>
  </si>
  <si>
    <t>03-04</t>
  </si>
  <si>
    <t>04-05</t>
  </si>
  <si>
    <t>05-06</t>
  </si>
  <si>
    <t>06-07</t>
  </si>
  <si>
    <t>07-08</t>
  </si>
  <si>
    <t>08-09</t>
  </si>
  <si>
    <t>09-10</t>
  </si>
  <si>
    <t>10-11</t>
  </si>
  <si>
    <t>11-12</t>
  </si>
  <si>
    <r>
      <t>23.</t>
    </r>
    <r>
      <rPr>
        <vertAlign val="superscript"/>
        <sz val="8"/>
        <rFont val="Verdana"/>
        <family val="2"/>
        <charset val="162"/>
      </rPr>
      <t>00</t>
    </r>
  </si>
  <si>
    <t>12-13</t>
  </si>
  <si>
    <t>13-14</t>
  </si>
  <si>
    <t>14-15</t>
  </si>
  <si>
    <t>15-16</t>
  </si>
  <si>
    <t>16-17</t>
  </si>
  <si>
    <t>17-18</t>
  </si>
  <si>
    <t>18-19</t>
  </si>
  <si>
    <t>19-20</t>
  </si>
  <si>
    <t>20-21</t>
  </si>
  <si>
    <t>21-22</t>
  </si>
  <si>
    <t>22-23</t>
  </si>
  <si>
    <t>23-24</t>
  </si>
  <si>
    <t>Yetkili Bilgileri</t>
  </si>
  <si>
    <t>Çarpan</t>
  </si>
  <si>
    <t>Yetkili Adı</t>
  </si>
  <si>
    <t>:</t>
  </si>
  <si>
    <t>Endeks Farkı</t>
  </si>
  <si>
    <t>OSF Toplamı</t>
  </si>
  <si>
    <t>İmza</t>
  </si>
  <si>
    <t>Fark Oranı (%)</t>
  </si>
  <si>
    <t>Tarih</t>
  </si>
  <si>
    <t>13.00</t>
  </si>
  <si>
    <t>15.00</t>
  </si>
  <si>
    <t>17.00</t>
  </si>
  <si>
    <t>19.00</t>
  </si>
  <si>
    <t>21.00</t>
  </si>
  <si>
    <t>23.00</t>
  </si>
  <si>
    <t>03.00</t>
  </si>
  <si>
    <t>05.00</t>
  </si>
  <si>
    <t>07.00</t>
  </si>
  <si>
    <t>09.00</t>
  </si>
  <si>
    <t>11.00</t>
  </si>
  <si>
    <t>Endeks OSF Farkı</t>
  </si>
  <si>
    <t>RI Tüketim</t>
  </si>
  <si>
    <t>RC Tüketim</t>
  </si>
  <si>
    <t>RI Üretim</t>
  </si>
  <si>
    <t>RC Üretim</t>
  </si>
  <si>
    <t>Aktif Tüketim</t>
  </si>
  <si>
    <t>Aktif Üretim</t>
  </si>
  <si>
    <t>İlk Endeks</t>
  </si>
  <si>
    <t>Son Endeks</t>
  </si>
  <si>
    <t>Tüketim Demand</t>
  </si>
  <si>
    <t>Üretim Demand</t>
  </si>
  <si>
    <t>Tüketim Demand T.</t>
  </si>
  <si>
    <t>Üretim Demand T.</t>
  </si>
  <si>
    <t>LUNA</t>
  </si>
  <si>
    <t>2193681000</t>
  </si>
  <si>
    <t>09/2025</t>
  </si>
  <si>
    <t>Cadde-Sokak</t>
  </si>
  <si>
    <t>29/09/2025 02:13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</si>
</sst>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/yyyy"/>
    <numFmt numFmtId="165" formatCode="0.000"/>
  </numFmts>
  <fonts count="16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sz val="10"/>
      <name val="Verdana"/>
      <family val="2"/>
      <charset val="162"/>
    </font>
    <font>
      <b/>
      <sz val="10"/>
      <name val="Verdana"/>
      <family val="2"/>
      <charset val="162"/>
    </font>
    <font>
      <b/>
      <sz val="10"/>
      <color indexed="9"/>
      <name val="Verdana"/>
      <family val="2"/>
      <charset val="162"/>
    </font>
    <font>
      <b/>
      <sz val="7.5"/>
      <color indexed="9"/>
      <name val="Verdana"/>
      <family val="2"/>
      <charset val="162"/>
    </font>
    <font>
      <b/>
      <sz val="13.5"/>
      <name val="Verdana"/>
      <family val="2"/>
      <charset val="162"/>
    </font>
    <font>
      <b/>
      <i/>
      <sz val="10"/>
      <color indexed="10"/>
      <name val="Verdana"/>
      <family val="2"/>
      <charset val="162"/>
    </font>
    <font>
      <sz val="10"/>
      <name val="Arial Tur"/>
      <family val="2"/>
      <charset val="162"/>
    </font>
    <font>
      <sz val="8"/>
      <name val="Verdana"/>
      <family val="2"/>
      <charset val="162"/>
    </font>
    <font>
      <vertAlign val="superscript"/>
      <sz val="8"/>
      <name val="Verdana"/>
      <family val="2"/>
      <charset val="162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b/>
      <sz val="10"/>
      <color theme="1"/>
      <name val="Verdan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24"/>
        <bgColor indexed="46"/>
      </patternFill>
    </fill>
    <fill>
      <patternFill patternType="solid">
        <fgColor theme="0"/>
        <bgColor indexed="4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9" fillId="0" borderId="0"/>
    <xf numFmtId="0" fontId="12" fillId="5" borderId="0" applyNumberFormat="0" applyBorder="0" applyAlignment="0" applyProtection="0"/>
    <xf numFmtId="0" fontId="13" fillId="6" borderId="0" applyNumberFormat="0" applyBorder="0" applyAlignment="0" applyProtection="0"/>
    <xf numFmtId="0" fontId="14" fillId="7" borderId="0" applyNumberFormat="0" applyBorder="0" applyAlignment="0" applyProtection="0"/>
  </cellStyleXfs>
  <cellXfs count="55">
    <xf numFmtId="0" fontId="0" fillId="0" borderId="0" xfId="0"/>
    <xf numFmtId="0" fontId="3" fillId="0" borderId="0" xfId="2" applyFont="1" applyAlignment="1">
      <alignment horizontal="left"/>
    </xf>
    <xf numFmtId="0" fontId="3" fillId="0" borderId="0" xfId="2" applyFont="1"/>
    <xf numFmtId="0" fontId="4" fillId="0" borderId="0" xfId="2" applyFont="1" applyAlignment="1">
      <alignment horizontal="left" vertical="top"/>
    </xf>
    <xf numFmtId="0" fontId="4" fillId="0" borderId="0" xfId="2" applyFont="1" applyAlignment="1">
      <alignment vertical="top"/>
    </xf>
    <xf numFmtId="0" fontId="5" fillId="0" borderId="0" xfId="2" applyFont="1" applyAlignment="1">
      <alignment wrapText="1"/>
    </xf>
    <xf numFmtId="0" fontId="6" fillId="0" borderId="0" xfId="2" applyFont="1" applyAlignment="1">
      <alignment wrapText="1"/>
    </xf>
    <xf numFmtId="0" fontId="7" fillId="2" borderId="0" xfId="2" applyFont="1" applyFill="1" applyAlignment="1">
      <alignment horizontal="left" vertical="center"/>
    </xf>
    <xf numFmtId="0" fontId="7" fillId="2" borderId="0" xfId="2" applyFont="1" applyFill="1" applyAlignment="1">
      <alignment vertical="center"/>
    </xf>
    <xf numFmtId="0" fontId="8" fillId="0" borderId="0" xfId="2" applyFont="1" applyAlignment="1">
      <alignment vertical="center"/>
    </xf>
    <xf numFmtId="0" fontId="7" fillId="2" borderId="0" xfId="2" applyFont="1" applyFill="1" applyAlignment="1">
      <alignment horizontal="center" vertical="center"/>
    </xf>
    <xf numFmtId="0" fontId="3" fillId="0" borderId="0" xfId="2" applyFont="1" applyAlignment="1">
      <alignment vertical="center"/>
    </xf>
    <xf numFmtId="0" fontId="3" fillId="0" borderId="1" xfId="2" applyFont="1" applyBorder="1" applyProtection="1">
      <protection locked="0"/>
    </xf>
    <xf numFmtId="0" fontId="3" fillId="0" borderId="0" xfId="2" applyFont="1" applyAlignment="1">
      <alignment horizontal="right" vertical="center"/>
    </xf>
    <xf numFmtId="0" fontId="5" fillId="0" borderId="0" xfId="2" applyFont="1" applyAlignment="1">
      <alignment horizontal="left" vertical="center" wrapText="1"/>
    </xf>
    <xf numFmtId="0" fontId="2" fillId="0" borderId="0" xfId="2" applyAlignment="1">
      <alignment horizontal="left" vertical="center" wrapText="1"/>
    </xf>
    <xf numFmtId="0" fontId="2" fillId="0" borderId="0" xfId="2" applyAlignment="1">
      <alignment vertical="center"/>
    </xf>
    <xf numFmtId="0" fontId="10" fillId="0" borderId="7" xfId="3" applyFont="1" applyBorder="1" applyAlignment="1">
      <alignment vertical="center"/>
    </xf>
    <xf numFmtId="165" fontId="10" fillId="0" borderId="7" xfId="3" applyNumberFormat="1" applyFont="1" applyBorder="1" applyAlignment="1" applyProtection="1">
      <alignment vertical="center"/>
      <protection locked="0"/>
    </xf>
    <xf numFmtId="165" fontId="10" fillId="0" borderId="5" xfId="3" applyNumberFormat="1" applyFont="1" applyBorder="1" applyAlignment="1" applyProtection="1">
      <alignment vertical="center"/>
      <protection locked="0"/>
    </xf>
    <xf numFmtId="0" fontId="10" fillId="0" borderId="8" xfId="3" applyFont="1" applyBorder="1" applyAlignment="1">
      <alignment vertical="center"/>
    </xf>
    <xf numFmtId="165" fontId="10" fillId="0" borderId="8" xfId="3" applyNumberFormat="1" applyFont="1" applyBorder="1" applyAlignment="1" applyProtection="1">
      <alignment vertical="center"/>
      <protection locked="0"/>
    </xf>
    <xf numFmtId="0" fontId="10" fillId="0" borderId="9" xfId="3" applyFont="1" applyBorder="1" applyAlignment="1">
      <alignment vertical="center"/>
    </xf>
    <xf numFmtId="0" fontId="3" fillId="0" borderId="14" xfId="2" applyFont="1" applyBorder="1"/>
    <xf numFmtId="0" fontId="10" fillId="0" borderId="14" xfId="3" applyFont="1" applyBorder="1" applyAlignment="1">
      <alignment vertical="center"/>
    </xf>
    <xf numFmtId="0" fontId="2" fillId="0" borderId="14" xfId="2" applyBorder="1" applyAlignment="1">
      <alignment vertical="center"/>
    </xf>
    <xf numFmtId="0" fontId="5" fillId="3" borderId="1" xfId="2" applyFont="1" applyFill="1" applyBorder="1" applyAlignment="1">
      <alignment horizontal="left" vertical="center" wrapText="1"/>
    </xf>
    <xf numFmtId="49" fontId="3" fillId="0" borderId="1" xfId="2" applyNumberFormat="1" applyFont="1" applyBorder="1" applyAlignment="1" applyProtection="1">
      <alignment horizontal="left" vertical="center"/>
      <protection locked="0"/>
    </xf>
    <xf numFmtId="49" fontId="3" fillId="0" borderId="2" xfId="2" applyNumberFormat="1" applyFont="1" applyBorder="1" applyAlignment="1">
      <alignment horizontal="left" vertical="center"/>
    </xf>
    <xf numFmtId="49" fontId="3" fillId="0" borderId="2" xfId="2" applyNumberFormat="1" applyFont="1" applyBorder="1" applyAlignment="1" applyProtection="1">
      <alignment horizontal="left" vertical="center"/>
      <protection locked="0"/>
    </xf>
    <xf numFmtId="0" fontId="3" fillId="0" borderId="5" xfId="3" applyFont="1" applyBorder="1" applyAlignment="1">
      <alignment horizontal="center" vertical="center"/>
    </xf>
    <xf numFmtId="0" fontId="3" fillId="0" borderId="1" xfId="2" applyFont="1" applyBorder="1" applyAlignment="1" applyProtection="1">
      <alignment horizontal="center"/>
      <protection locked="0"/>
    </xf>
    <xf numFmtId="0" fontId="3" fillId="0" borderId="3" xfId="2" applyFont="1" applyBorder="1" applyAlignment="1">
      <alignment horizontal="right" vertical="center"/>
    </xf>
    <xf numFmtId="0" fontId="3" fillId="0" borderId="0" xfId="2" applyFont="1" applyAlignment="1">
      <alignment horizontal="right" vertical="center"/>
    </xf>
    <xf numFmtId="164" fontId="3" fillId="0" borderId="1" xfId="2" applyNumberFormat="1" applyFont="1" applyBorder="1" applyAlignment="1" applyProtection="1">
      <alignment horizontal="center"/>
      <protection locked="0"/>
    </xf>
    <xf numFmtId="0" fontId="5" fillId="3" borderId="4" xfId="2" applyFont="1" applyFill="1" applyBorder="1" applyAlignment="1">
      <alignment horizontal="center" vertical="center" wrapText="1"/>
    </xf>
    <xf numFmtId="0" fontId="3" fillId="0" borderId="4" xfId="3" applyFont="1" applyBorder="1" applyAlignment="1">
      <alignment horizontal="center" vertical="center"/>
    </xf>
    <xf numFmtId="49" fontId="12" fillId="5" borderId="4" xfId="4" applyNumberFormat="1" applyBorder="1" applyAlignment="1">
      <alignment horizontal="center" vertical="center"/>
    </xf>
    <xf numFmtId="49" fontId="12" fillId="5" borderId="6" xfId="4" applyNumberFormat="1" applyBorder="1" applyAlignment="1">
      <alignment horizontal="center" vertical="center"/>
    </xf>
    <xf numFmtId="49" fontId="13" fillId="6" borderId="4" xfId="5" applyNumberFormat="1" applyBorder="1" applyAlignment="1">
      <alignment horizontal="center" vertical="center"/>
    </xf>
    <xf numFmtId="0" fontId="3" fillId="0" borderId="10" xfId="2" applyFont="1" applyBorder="1" applyAlignment="1" applyProtection="1">
      <alignment horizontal="center"/>
      <protection locked="0"/>
    </xf>
    <xf numFmtId="0" fontId="3" fillId="0" borderId="12" xfId="2" applyFont="1" applyBorder="1" applyAlignment="1" applyProtection="1">
      <alignment horizontal="center"/>
      <protection locked="0"/>
    </xf>
    <xf numFmtId="0" fontId="3" fillId="0" borderId="11" xfId="2" applyFont="1" applyBorder="1" applyAlignment="1" applyProtection="1">
      <alignment horizontal="center"/>
      <protection locked="0"/>
    </xf>
    <xf numFmtId="165" fontId="4" fillId="0" borderId="2" xfId="2" applyNumberFormat="1" applyFont="1" applyBorder="1" applyAlignment="1">
      <alignment horizontal="left"/>
    </xf>
    <xf numFmtId="49" fontId="14" fillId="7" borderId="4" xfId="6" applyNumberFormat="1" applyBorder="1" applyAlignment="1">
      <alignment horizontal="center" vertical="center"/>
    </xf>
    <xf numFmtId="0" fontId="10" fillId="0" borderId="4" xfId="3" applyFont="1" applyBorder="1" applyAlignment="1">
      <alignment horizontal="center" vertical="center"/>
    </xf>
    <xf numFmtId="0" fontId="10" fillId="0" borderId="5" xfId="3" applyFont="1" applyBorder="1" applyAlignment="1">
      <alignment horizontal="center" vertical="center"/>
    </xf>
    <xf numFmtId="0" fontId="15" fillId="4" borderId="2" xfId="2" applyFont="1" applyFill="1" applyBorder="1" applyAlignment="1">
      <alignment horizontal="center" vertical="center" wrapText="1"/>
    </xf>
    <xf numFmtId="10" fontId="4" fillId="0" borderId="2" xfId="2" applyNumberFormat="1" applyFont="1" applyBorder="1" applyAlignment="1">
      <alignment horizontal="left"/>
    </xf>
    <xf numFmtId="0" fontId="3" fillId="0" borderId="2" xfId="2" applyFont="1" applyBorder="1" applyAlignment="1">
      <alignment horizontal="left"/>
    </xf>
    <xf numFmtId="0" fontId="4" fillId="0" borderId="2" xfId="2" applyFont="1" applyBorder="1" applyAlignment="1">
      <alignment horizontal="left"/>
    </xf>
    <xf numFmtId="0" fontId="3" fillId="0" borderId="10" xfId="2" applyFont="1" applyBorder="1" applyAlignment="1">
      <alignment horizontal="left"/>
    </xf>
    <xf numFmtId="10" fontId="4" fillId="0" borderId="2" xfId="1" applyNumberFormat="1" applyFont="1" applyBorder="1" applyAlignment="1">
      <alignment horizontal="left"/>
    </xf>
    <xf numFmtId="0" fontId="5" fillId="3" borderId="13" xfId="2" applyFont="1" applyFill="1" applyBorder="1" applyAlignment="1">
      <alignment horizontal="center" vertical="center" wrapText="1"/>
    </xf>
    <xf numFmtId="0" fontId="5" fillId="3" borderId="0" xfId="2" applyFont="1" applyFill="1" applyAlignment="1">
      <alignment horizontal="center" vertical="center" wrapText="1"/>
    </xf>
  </cellXfs>
  <cellStyles count="7">
    <cellStyle name="İyi" xfId="4" builtinId="26"/>
    <cellStyle name="Kötü" xfId="5" builtinId="27"/>
    <cellStyle name="Normal" xfId="0" builtinId="0"/>
    <cellStyle name="Normal 2" xfId="2" xr:uid="{79F9106F-1865-408F-A497-687FA55D024F}"/>
    <cellStyle name="Normal_Sayaç-Bilgi-Formu-24,09,03" xfId="3" xr:uid="{93E2BD8D-DF69-40CB-8D2E-F3ECAF548A2B}"/>
    <cellStyle name="Nötr" xfId="6" builtinId="28"/>
    <cellStyle name="Yüzd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A1531-AD34-450F-87D9-D68F873EBC3A}">
  <sheetPr>
    <pageSetUpPr fitToPage="1"/>
  </sheetPr>
  <dimension ref="A1:AH81"/>
  <sheetViews>
    <sheetView showGridLines="0" tabSelected="1" view="pageBreakPreview" topLeftCell="F1" zoomScaleNormal="100" zoomScaleSheetLayoutView="100" workbookViewId="0">
      <selection activeCell="H13" sqref="H13:O13"/>
    </sheetView>
  </sheetViews>
  <sheetFormatPr defaultRowHeight="15" x14ac:dyDescent="0.25"/>
  <sheetData>
    <row r="1" spans="1:34" x14ac:dyDescent="0.25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4" x14ac:dyDescent="0.25">
      <c r="A2" s="3" t="s">
        <v>0</v>
      </c>
      <c r="B2" s="3"/>
      <c r="C2" s="4"/>
      <c r="D2" s="4"/>
      <c r="E2" s="4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5"/>
      <c r="T2" s="6"/>
      <c r="U2" s="6"/>
      <c r="V2" s="6"/>
      <c r="W2" s="6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 spans="1:34" ht="17.25" x14ac:dyDescent="0.25">
      <c r="A3" s="7" t="s">
        <v>1</v>
      </c>
      <c r="B3" s="7"/>
      <c r="C3" s="8"/>
      <c r="D3" s="8"/>
      <c r="E3" s="8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6"/>
      <c r="T3" s="6"/>
      <c r="U3" s="6"/>
      <c r="V3" s="6"/>
      <c r="W3" s="6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 spans="1:34" ht="17.25" x14ac:dyDescent="0.25">
      <c r="A4" s="9" t="s">
        <v>2</v>
      </c>
      <c r="B4" s="2"/>
      <c r="C4" s="2"/>
      <c r="D4" s="2"/>
      <c r="E4" s="2"/>
      <c r="F4" s="10"/>
      <c r="G4" s="10"/>
      <c r="H4" s="2"/>
      <c r="I4" s="2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2"/>
      <c r="AA4" s="2"/>
      <c r="AB4" s="2"/>
      <c r="AC4" s="2"/>
      <c r="AD4" s="2"/>
      <c r="AE4" s="2"/>
      <c r="AF4" s="2"/>
      <c r="AG4" s="2"/>
      <c r="AH4" s="2"/>
    </row>
    <row r="5" spans="1:34" x14ac:dyDescent="0.25">
      <c r="A5" s="26" t="s">
        <v>3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11"/>
      <c r="AD5" s="11"/>
      <c r="AE5" s="11"/>
      <c r="AF5" s="11"/>
      <c r="AG5" s="11"/>
      <c r="AH5" s="11"/>
    </row>
    <row r="6" spans="1:34" x14ac:dyDescent="0.25">
      <c r="A6" s="1"/>
      <c r="B6" s="1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 spans="1:34" x14ac:dyDescent="0.25">
      <c r="A7" s="1" t="s">
        <v>4</v>
      </c>
      <c r="B7" s="1"/>
      <c r="C7" s="2"/>
      <c r="D7" s="27"/>
      <c r="E7" s="27"/>
      <c r="F7" s="27"/>
      <c r="G7" s="2"/>
      <c r="H7" s="28"/>
      <c r="I7" s="28"/>
      <c r="J7" s="28"/>
      <c r="K7" s="2"/>
      <c r="L7" s="28">
        <v>2127570400</v>
      </c>
      <c r="M7" s="28"/>
      <c r="N7" s="28"/>
      <c r="O7" s="2"/>
      <c r="P7" s="28" t="s">
        <v>80</v>
      </c>
      <c r="Q7" s="28"/>
      <c r="R7" s="28"/>
      <c r="S7" s="2"/>
      <c r="T7" s="28"/>
      <c r="U7" s="28"/>
      <c r="V7" s="28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 spans="1:34" x14ac:dyDescent="0.25">
      <c r="A8" s="1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 spans="1:34" x14ac:dyDescent="0.25">
      <c r="A9" s="1" t="s">
        <v>5</v>
      </c>
      <c r="B9" s="1"/>
      <c r="C9" s="2"/>
      <c r="D9" s="27">
        <v>500279486</v>
      </c>
      <c r="E9" s="27"/>
      <c r="F9" s="27"/>
      <c r="G9" s="2"/>
      <c r="H9" s="28" t="s">
        <v>77</v>
      </c>
      <c r="I9" s="28"/>
      <c r="J9" s="28"/>
      <c r="K9" s="2"/>
      <c r="L9" s="28">
        <v>1</v>
      </c>
      <c r="M9" s="28"/>
      <c r="N9" s="28"/>
      <c r="O9" s="2"/>
      <c r="P9" s="28"/>
      <c r="Q9" s="28"/>
      <c r="R9" s="28"/>
      <c r="S9" s="2"/>
      <c r="T9" s="28"/>
      <c r="U9" s="28"/>
      <c r="V9" s="28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 spans="1:34" x14ac:dyDescent="0.25">
      <c r="A10" s="1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 spans="1:34" x14ac:dyDescent="0.25">
      <c r="A11" s="1" t="s">
        <v>6</v>
      </c>
      <c r="B11" s="1"/>
      <c r="C11" s="2" t="s">
        <v>7</v>
      </c>
      <c r="D11" s="2"/>
      <c r="E11" s="1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 spans="1:34" x14ac:dyDescent="0.25">
      <c r="A12" s="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 spans="1:34" x14ac:dyDescent="0.25">
      <c r="A13" s="1" t="s">
        <v>8</v>
      </c>
      <c r="B13" s="1"/>
      <c r="C13" s="2" t="s">
        <v>9</v>
      </c>
      <c r="D13" s="2"/>
      <c r="E13" s="12"/>
      <c r="F13" s="2"/>
      <c r="G13" s="13" t="s">
        <v>10</v>
      </c>
      <c r="H13" s="29"/>
      <c r="I13" s="29"/>
      <c r="J13" s="29"/>
      <c r="K13" s="29"/>
      <c r="L13" s="29"/>
      <c r="M13" s="29"/>
      <c r="N13" s="29"/>
      <c r="O13" s="29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 spans="1:34" x14ac:dyDescent="0.25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 spans="1:34" x14ac:dyDescent="0.25">
      <c r="A15" s="1" t="s">
        <v>11</v>
      </c>
      <c r="B15" s="1"/>
      <c r="C15" s="2"/>
      <c r="D15" s="31"/>
      <c r="E15" s="31"/>
      <c r="F15" s="32" t="s">
        <v>12</v>
      </c>
      <c r="G15" s="33"/>
      <c r="H15" s="28" t="s">
        <v>78</v>
      </c>
      <c r="I15" s="28"/>
      <c r="J15" s="28"/>
      <c r="K15" s="28"/>
      <c r="L15" s="28"/>
      <c r="M15" s="28"/>
      <c r="N15" s="28"/>
      <c r="O15" s="28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 spans="1:34" x14ac:dyDescent="0.25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 spans="1:34" x14ac:dyDescent="0.25">
      <c r="A17" s="1" t="s">
        <v>13</v>
      </c>
      <c r="B17" s="1"/>
      <c r="C17" s="2"/>
      <c r="D17" s="34" t="s">
        <v>79</v>
      </c>
      <c r="E17" s="3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 spans="1:34" ht="15.75" thickBot="1" x14ac:dyDescent="0.3">
      <c r="A18" s="1"/>
      <c r="B18" s="1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 spans="1:34" ht="15.75" thickBot="1" x14ac:dyDescent="0.3">
      <c r="A19" s="35" t="s">
        <v>14</v>
      </c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</row>
    <row r="20" spans="1:34" ht="15.75" thickBot="1" x14ac:dyDescent="0.3">
      <c r="A20" s="14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6"/>
      <c r="X20" s="16"/>
      <c r="Y20" s="16"/>
      <c r="Z20" s="16"/>
      <c r="AA20" s="16"/>
      <c r="AB20" s="16"/>
      <c r="AC20" s="11"/>
      <c r="AD20" s="11"/>
      <c r="AE20" s="16"/>
      <c r="AF20" s="11"/>
      <c r="AG20" s="11"/>
      <c r="AH20" s="11"/>
    </row>
    <row r="21" spans="1:34" ht="15.75" thickBot="1" x14ac:dyDescent="0.3">
      <c r="A21" s="36" t="s">
        <v>15</v>
      </c>
      <c r="B21" s="30"/>
      <c r="C21" s="30">
        <v>1</v>
      </c>
      <c r="D21" s="30">
        <v>2</v>
      </c>
      <c r="E21" s="30">
        <v>3</v>
      </c>
      <c r="F21" s="30">
        <v>4</v>
      </c>
      <c r="G21" s="30">
        <v>5</v>
      </c>
      <c r="H21" s="30">
        <v>6</v>
      </c>
      <c r="I21" s="30">
        <v>7</v>
      </c>
      <c r="J21" s="30">
        <v>8</v>
      </c>
      <c r="K21" s="30">
        <v>9</v>
      </c>
      <c r="L21" s="30">
        <v>10</v>
      </c>
      <c r="M21" s="30">
        <v>11</v>
      </c>
      <c r="N21" s="30">
        <v>12</v>
      </c>
      <c r="O21" s="30">
        <v>13</v>
      </c>
      <c r="P21" s="30">
        <v>14</v>
      </c>
      <c r="Q21" s="30">
        <v>15</v>
      </c>
      <c r="R21" s="30">
        <v>16</v>
      </c>
      <c r="S21" s="30">
        <v>17</v>
      </c>
      <c r="T21" s="30">
        <v>18</v>
      </c>
      <c r="U21" s="30">
        <v>19</v>
      </c>
      <c r="V21" s="30">
        <v>20</v>
      </c>
      <c r="W21" s="30">
        <v>21</v>
      </c>
      <c r="X21" s="30">
        <v>22</v>
      </c>
      <c r="Y21" s="30">
        <v>23</v>
      </c>
      <c r="Z21" s="30">
        <v>24</v>
      </c>
      <c r="AA21" s="30">
        <v>25</v>
      </c>
      <c r="AB21" s="30">
        <v>26</v>
      </c>
      <c r="AC21" s="30">
        <v>27</v>
      </c>
      <c r="AD21" s="30">
        <v>28</v>
      </c>
      <c r="AE21" s="30">
        <v>29</v>
      </c>
      <c r="AF21" s="30">
        <v>30</v>
      </c>
      <c r="AG21" s="30">
        <v>31</v>
      </c>
      <c r="AH21" s="30" t="s">
        <v>16</v>
      </c>
    </row>
    <row r="22" spans="1:34" ht="15.75" thickBot="1" x14ac:dyDescent="0.3">
      <c r="A22" s="36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</row>
    <row r="23" spans="1:34" ht="15.75" thickBot="1" x14ac:dyDescent="0.3">
      <c r="A23" s="38" t="s">
        <v>17</v>
      </c>
      <c r="B23" s="17" t="s">
        <v>18</v>
      </c>
      <c r="C23" s="18">
        <v>0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8">
        <v>0</v>
      </c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  <c r="AF23" s="18">
        <v>0</v>
      </c>
      <c r="AG23" s="18"/>
      <c r="AH23" s="19">
        <f>SUM(C23:AG23)</f>
        <v>0</v>
      </c>
    </row>
    <row r="24" spans="1:34" ht="15.75" thickBot="1" x14ac:dyDescent="0.3">
      <c r="A24" s="38"/>
      <c r="B24" s="20" t="s">
        <v>19</v>
      </c>
      <c r="C24" s="21">
        <v>7.2910000000000004</v>
      </c>
      <c r="D24" s="21">
        <v>7.27</v>
      </c>
      <c r="E24" s="21">
        <v>7.26</v>
      </c>
      <c r="F24" s="21">
        <v>7.32</v>
      </c>
      <c r="G24" s="21">
        <v>7.3010000000000002</v>
      </c>
      <c r="H24" s="21">
        <v>7.3140000000000001</v>
      </c>
      <c r="I24" s="21">
        <v>7.343</v>
      </c>
      <c r="J24" s="21">
        <v>7.3929999999999998</v>
      </c>
      <c r="K24" s="21">
        <v>7.359</v>
      </c>
      <c r="L24" s="21">
        <v>7.4279999999999999</v>
      </c>
      <c r="M24" s="21">
        <v>7.2910000000000004</v>
      </c>
      <c r="N24" s="21">
        <v>7.3739999999999997</v>
      </c>
      <c r="O24" s="21">
        <v>7.2569999999999997</v>
      </c>
      <c r="P24" s="21">
        <v>7.3819999999999997</v>
      </c>
      <c r="Q24" s="21">
        <v>7.4290000000000003</v>
      </c>
      <c r="R24" s="21">
        <v>7.4340000000000002</v>
      </c>
      <c r="S24" s="21">
        <v>7.306</v>
      </c>
      <c r="T24" s="21">
        <v>7.431</v>
      </c>
      <c r="U24" s="21">
        <v>7.468</v>
      </c>
      <c r="V24" s="21">
        <v>7.319</v>
      </c>
      <c r="W24" s="21">
        <v>7.3940000000000001</v>
      </c>
      <c r="X24" s="21">
        <v>7.4470000000000001</v>
      </c>
      <c r="Y24" s="21">
        <v>7.4619999999999997</v>
      </c>
      <c r="Z24" s="21">
        <v>7.43</v>
      </c>
      <c r="AA24" s="21">
        <v>7.4429999999999996</v>
      </c>
      <c r="AB24" s="21">
        <v>7.4029999999999996</v>
      </c>
      <c r="AC24" s="21">
        <v>7.2939999999999996</v>
      </c>
      <c r="AD24" s="21">
        <v>7.4160000000000004</v>
      </c>
      <c r="AE24" s="21">
        <v>7.4950000000000001</v>
      </c>
      <c r="AF24" s="21">
        <v>7.3940000000000001</v>
      </c>
      <c r="AG24" s="21"/>
      <c r="AH24" s="19">
        <f t="shared" ref="AH24:AH70" si="0">SUM(C24:AG24)</f>
        <v>221.148</v>
      </c>
    </row>
    <row r="25" spans="1:34" ht="15.75" thickBot="1" x14ac:dyDescent="0.3">
      <c r="A25" s="37" t="s">
        <v>20</v>
      </c>
      <c r="B25" s="17" t="s">
        <v>18</v>
      </c>
      <c r="C25" s="18">
        <v>0</v>
      </c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0</v>
      </c>
      <c r="AG25" s="18"/>
      <c r="AH25" s="19">
        <f t="shared" si="0"/>
        <v>0</v>
      </c>
    </row>
    <row r="26" spans="1:34" ht="15.75" thickBot="1" x14ac:dyDescent="0.3">
      <c r="A26" s="37" t="s">
        <v>59</v>
      </c>
      <c r="B26" s="20" t="s">
        <v>19</v>
      </c>
      <c r="C26" s="21">
        <v>7.3739999999999997</v>
      </c>
      <c r="D26" s="21">
        <v>7.3970000000000002</v>
      </c>
      <c r="E26" s="21">
        <v>7.3330000000000002</v>
      </c>
      <c r="F26" s="21">
        <v>7.3710000000000004</v>
      </c>
      <c r="G26" s="21">
        <v>7.3540000000000001</v>
      </c>
      <c r="H26" s="21">
        <v>7.3659999999999997</v>
      </c>
      <c r="I26" s="21">
        <v>7.4189999999999996</v>
      </c>
      <c r="J26" s="21">
        <v>7.3979999999999997</v>
      </c>
      <c r="K26" s="21">
        <v>7.3949999999999996</v>
      </c>
      <c r="L26" s="21">
        <v>7.452</v>
      </c>
      <c r="M26" s="21">
        <v>7.3819999999999997</v>
      </c>
      <c r="N26" s="21">
        <v>7.3970000000000002</v>
      </c>
      <c r="O26" s="21">
        <v>7.3840000000000003</v>
      </c>
      <c r="P26" s="21">
        <v>7.44</v>
      </c>
      <c r="Q26" s="21">
        <v>7.492</v>
      </c>
      <c r="R26" s="21">
        <v>7.4619999999999997</v>
      </c>
      <c r="S26" s="21">
        <v>7.4409999999999998</v>
      </c>
      <c r="T26" s="21">
        <v>7.4820000000000002</v>
      </c>
      <c r="U26" s="21">
        <v>7.4950000000000001</v>
      </c>
      <c r="V26" s="21">
        <v>7.4269999999999996</v>
      </c>
      <c r="W26" s="21">
        <v>7.444</v>
      </c>
      <c r="X26" s="21">
        <v>7.47</v>
      </c>
      <c r="Y26" s="21">
        <v>7.5339999999999998</v>
      </c>
      <c r="Z26" s="21">
        <v>7.5039999999999996</v>
      </c>
      <c r="AA26" s="21">
        <v>7.5019999999999998</v>
      </c>
      <c r="AB26" s="21">
        <v>7.4850000000000003</v>
      </c>
      <c r="AC26" s="21">
        <v>7.383</v>
      </c>
      <c r="AD26" s="21">
        <v>7.3609999999999998</v>
      </c>
      <c r="AE26" s="21">
        <v>7.59</v>
      </c>
      <c r="AF26" s="21">
        <v>7.4690000000000003</v>
      </c>
      <c r="AG26" s="21"/>
      <c r="AH26" s="19">
        <f t="shared" si="0"/>
        <v>223.00300000000001</v>
      </c>
    </row>
    <row r="27" spans="1:34" ht="15.75" thickBot="1" x14ac:dyDescent="0.3">
      <c r="A27" s="37" t="s">
        <v>21</v>
      </c>
      <c r="B27" s="17" t="s">
        <v>18</v>
      </c>
      <c r="C27" s="18">
        <v>0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8">
        <v>0</v>
      </c>
      <c r="AF27" s="18">
        <v>0</v>
      </c>
      <c r="AG27" s="18"/>
      <c r="AH27" s="19">
        <f t="shared" si="0"/>
        <v>0</v>
      </c>
    </row>
    <row r="28" spans="1:34" ht="15.75" thickBot="1" x14ac:dyDescent="0.3">
      <c r="A28" s="37" t="s">
        <v>60</v>
      </c>
      <c r="B28" s="20" t="s">
        <v>19</v>
      </c>
      <c r="C28" s="21">
        <v>7.4530000000000003</v>
      </c>
      <c r="D28" s="21">
        <v>7.4809999999999999</v>
      </c>
      <c r="E28" s="21">
        <v>7.234</v>
      </c>
      <c r="F28" s="21">
        <v>7.1909999999999998</v>
      </c>
      <c r="G28" s="21">
        <v>7.37</v>
      </c>
      <c r="H28" s="21">
        <v>7.35</v>
      </c>
      <c r="I28" s="21">
        <v>7.3719999999999999</v>
      </c>
      <c r="J28" s="21">
        <v>7.4459999999999997</v>
      </c>
      <c r="K28" s="21">
        <v>7.407</v>
      </c>
      <c r="L28" s="21">
        <v>7.4470000000000001</v>
      </c>
      <c r="M28" s="21">
        <v>7.4530000000000003</v>
      </c>
      <c r="N28" s="21">
        <v>7.3630000000000004</v>
      </c>
      <c r="O28" s="21">
        <v>7.4989999999999997</v>
      </c>
      <c r="P28" s="21">
        <v>7.4429999999999996</v>
      </c>
      <c r="Q28" s="21">
        <v>7.5650000000000004</v>
      </c>
      <c r="R28" s="21">
        <v>7.4340000000000002</v>
      </c>
      <c r="S28" s="21">
        <v>7.5270000000000001</v>
      </c>
      <c r="T28" s="21">
        <v>7.5289999999999999</v>
      </c>
      <c r="U28" s="21">
        <v>7.4720000000000004</v>
      </c>
      <c r="V28" s="21">
        <v>7.5330000000000004</v>
      </c>
      <c r="W28" s="21">
        <v>7.4029999999999996</v>
      </c>
      <c r="X28" s="21">
        <v>7.5670000000000002</v>
      </c>
      <c r="Y28" s="21">
        <v>7.4039999999999999</v>
      </c>
      <c r="Z28" s="21">
        <v>7.492</v>
      </c>
      <c r="AA28" s="21">
        <v>7.4859999999999998</v>
      </c>
      <c r="AB28" s="21">
        <v>7.4320000000000004</v>
      </c>
      <c r="AC28" s="21">
        <v>7.5220000000000002</v>
      </c>
      <c r="AD28" s="21">
        <v>7.4459999999999997</v>
      </c>
      <c r="AE28" s="21">
        <v>7.5270000000000001</v>
      </c>
      <c r="AF28" s="21">
        <v>7.49</v>
      </c>
      <c r="AG28" s="21"/>
      <c r="AH28" s="19">
        <f t="shared" si="0"/>
        <v>223.33799999999994</v>
      </c>
    </row>
    <row r="29" spans="1:34" ht="15.75" thickBot="1" x14ac:dyDescent="0.3">
      <c r="A29" s="37" t="s">
        <v>22</v>
      </c>
      <c r="B29" s="17" t="s">
        <v>18</v>
      </c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18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  <c r="AG29" s="18"/>
      <c r="AH29" s="19">
        <f t="shared" si="0"/>
        <v>0</v>
      </c>
    </row>
    <row r="30" spans="1:34" ht="15.75" thickBot="1" x14ac:dyDescent="0.3">
      <c r="A30" s="37" t="s">
        <v>61</v>
      </c>
      <c r="B30" s="20" t="s">
        <v>19</v>
      </c>
      <c r="C30" s="21">
        <v>7.3209999999999997</v>
      </c>
      <c r="D30" s="21">
        <v>7.5389999999999997</v>
      </c>
      <c r="E30" s="21">
        <v>7.0940000000000003</v>
      </c>
      <c r="F30" s="21">
        <v>6.9409999999999998</v>
      </c>
      <c r="G30" s="21">
        <v>7.3730000000000002</v>
      </c>
      <c r="H30" s="21">
        <v>7.3849999999999998</v>
      </c>
      <c r="I30" s="21">
        <v>7.391</v>
      </c>
      <c r="J30" s="21">
        <v>7.4669999999999996</v>
      </c>
      <c r="K30" s="21">
        <v>7.4409999999999998</v>
      </c>
      <c r="L30" s="21">
        <v>7.4260000000000002</v>
      </c>
      <c r="M30" s="21">
        <v>7.4989999999999997</v>
      </c>
      <c r="N30" s="21">
        <v>7.44</v>
      </c>
      <c r="O30" s="21">
        <v>7.54</v>
      </c>
      <c r="P30" s="21">
        <v>7.4429999999999996</v>
      </c>
      <c r="Q30" s="21">
        <v>7.5529999999999999</v>
      </c>
      <c r="R30" s="21">
        <v>7.5019999999999998</v>
      </c>
      <c r="S30" s="21">
        <v>7.5369999999999999</v>
      </c>
      <c r="T30" s="21">
        <v>7.5449999999999999</v>
      </c>
      <c r="U30" s="21">
        <v>7.5119999999999996</v>
      </c>
      <c r="V30" s="21">
        <v>7.569</v>
      </c>
      <c r="W30" s="21">
        <v>7.4660000000000002</v>
      </c>
      <c r="X30" s="21">
        <v>7.569</v>
      </c>
      <c r="Y30" s="21">
        <v>7.4370000000000003</v>
      </c>
      <c r="Z30" s="21">
        <v>7.508</v>
      </c>
      <c r="AA30" s="21">
        <v>7.46</v>
      </c>
      <c r="AB30" s="21">
        <v>7.4690000000000003</v>
      </c>
      <c r="AC30" s="21">
        <v>7.5670000000000002</v>
      </c>
      <c r="AD30" s="21">
        <v>7.548</v>
      </c>
      <c r="AE30" s="21">
        <v>7.2720000000000002</v>
      </c>
      <c r="AF30" s="21">
        <v>7.5069999999999997</v>
      </c>
      <c r="AG30" s="21"/>
      <c r="AH30" s="19">
        <f t="shared" si="0"/>
        <v>223.321</v>
      </c>
    </row>
    <row r="31" spans="1:34" ht="15.75" thickBot="1" x14ac:dyDescent="0.3">
      <c r="A31" s="37" t="s">
        <v>23</v>
      </c>
      <c r="B31" s="17" t="s">
        <v>18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>
        <v>0</v>
      </c>
      <c r="AF31" s="18">
        <v>0</v>
      </c>
      <c r="AG31" s="18"/>
      <c r="AH31" s="19">
        <f t="shared" si="0"/>
        <v>0</v>
      </c>
    </row>
    <row r="32" spans="1:34" ht="15.75" thickBot="1" x14ac:dyDescent="0.3">
      <c r="A32" s="37" t="s">
        <v>62</v>
      </c>
      <c r="B32" s="20" t="s">
        <v>19</v>
      </c>
      <c r="C32" s="21">
        <v>7.1680000000000001</v>
      </c>
      <c r="D32" s="21">
        <v>7.55</v>
      </c>
      <c r="E32" s="21">
        <v>7.1340000000000003</v>
      </c>
      <c r="F32" s="21">
        <v>7.0229999999999997</v>
      </c>
      <c r="G32" s="21">
        <v>7.3979999999999997</v>
      </c>
      <c r="H32" s="21">
        <v>7.4509999999999996</v>
      </c>
      <c r="I32" s="21">
        <v>7.4119999999999999</v>
      </c>
      <c r="J32" s="21">
        <v>7.4770000000000003</v>
      </c>
      <c r="K32" s="21">
        <v>7.4690000000000003</v>
      </c>
      <c r="L32" s="21">
        <v>7.4530000000000003</v>
      </c>
      <c r="M32" s="21">
        <v>7.5419999999999998</v>
      </c>
      <c r="N32" s="21">
        <v>7.42</v>
      </c>
      <c r="O32" s="21">
        <v>7.5069999999999997</v>
      </c>
      <c r="P32" s="21">
        <v>7.4420000000000002</v>
      </c>
      <c r="Q32" s="21">
        <v>7.5510000000000002</v>
      </c>
      <c r="R32" s="21">
        <v>7.508</v>
      </c>
      <c r="S32" s="21">
        <v>7.5659999999999998</v>
      </c>
      <c r="T32" s="21">
        <v>7.4950000000000001</v>
      </c>
      <c r="U32" s="21">
        <v>7.5659999999999998</v>
      </c>
      <c r="V32" s="21">
        <v>7.5780000000000003</v>
      </c>
      <c r="W32" s="21">
        <v>7.5069999999999997</v>
      </c>
      <c r="X32" s="21">
        <v>7.5720000000000001</v>
      </c>
      <c r="Y32" s="21">
        <v>7.4470000000000001</v>
      </c>
      <c r="Z32" s="21">
        <v>7.4870000000000001</v>
      </c>
      <c r="AA32" s="21">
        <v>7.4539999999999997</v>
      </c>
      <c r="AB32" s="21">
        <v>7.4550000000000001</v>
      </c>
      <c r="AC32" s="21">
        <v>7.569</v>
      </c>
      <c r="AD32" s="21">
        <v>7.5430000000000001</v>
      </c>
      <c r="AE32" s="21">
        <v>6.5730000000000004</v>
      </c>
      <c r="AF32" s="21">
        <v>7.5380000000000003</v>
      </c>
      <c r="AG32" s="21"/>
      <c r="AH32" s="19">
        <f t="shared" si="0"/>
        <v>222.85500000000005</v>
      </c>
    </row>
    <row r="33" spans="1:34" ht="15.75" thickBot="1" x14ac:dyDescent="0.3">
      <c r="A33" s="37" t="s">
        <v>24</v>
      </c>
      <c r="B33" s="17" t="s">
        <v>18</v>
      </c>
      <c r="C33" s="18">
        <v>0</v>
      </c>
      <c r="D33" s="18">
        <v>0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0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0</v>
      </c>
      <c r="AG33" s="18"/>
      <c r="AH33" s="19">
        <f t="shared" si="0"/>
        <v>0</v>
      </c>
    </row>
    <row r="34" spans="1:34" ht="15.75" thickBot="1" x14ac:dyDescent="0.3">
      <c r="A34" s="37" t="s">
        <v>63</v>
      </c>
      <c r="B34" s="20" t="s">
        <v>19</v>
      </c>
      <c r="C34" s="21">
        <v>7.3419999999999996</v>
      </c>
      <c r="D34" s="21">
        <v>7.51</v>
      </c>
      <c r="E34" s="21">
        <v>7.1079999999999997</v>
      </c>
      <c r="F34" s="21">
        <v>7.01</v>
      </c>
      <c r="G34" s="21">
        <v>7.3819999999999997</v>
      </c>
      <c r="H34" s="21">
        <v>7.4290000000000003</v>
      </c>
      <c r="I34" s="21">
        <v>7.3789999999999996</v>
      </c>
      <c r="J34" s="21">
        <v>7.4390000000000001</v>
      </c>
      <c r="K34" s="21">
        <v>7.45</v>
      </c>
      <c r="L34" s="21">
        <v>7.2030000000000003</v>
      </c>
      <c r="M34" s="21">
        <v>7.4779999999999998</v>
      </c>
      <c r="N34" s="21">
        <v>7.399</v>
      </c>
      <c r="O34" s="21">
        <v>7.4459999999999997</v>
      </c>
      <c r="P34" s="21">
        <v>7.4349999999999996</v>
      </c>
      <c r="Q34" s="21">
        <v>7.4669999999999996</v>
      </c>
      <c r="R34" s="21">
        <v>7.47</v>
      </c>
      <c r="S34" s="21">
        <v>7.5229999999999997</v>
      </c>
      <c r="T34" s="21">
        <v>7.4480000000000004</v>
      </c>
      <c r="U34" s="21">
        <v>7.5419999999999998</v>
      </c>
      <c r="V34" s="21">
        <v>7.532</v>
      </c>
      <c r="W34" s="21">
        <v>7.4720000000000004</v>
      </c>
      <c r="X34" s="21">
        <v>7.5209999999999999</v>
      </c>
      <c r="Y34" s="21">
        <v>7.3789999999999996</v>
      </c>
      <c r="Z34" s="21">
        <v>7.4359999999999999</v>
      </c>
      <c r="AA34" s="21">
        <v>7.4119999999999999</v>
      </c>
      <c r="AB34" s="21">
        <v>7.3849999999999998</v>
      </c>
      <c r="AC34" s="21">
        <v>7.5380000000000003</v>
      </c>
      <c r="AD34" s="21">
        <v>7.5289999999999999</v>
      </c>
      <c r="AE34" s="21">
        <v>6.5430000000000001</v>
      </c>
      <c r="AF34" s="21">
        <v>7.4829999999999997</v>
      </c>
      <c r="AG34" s="21"/>
      <c r="AH34" s="19">
        <f t="shared" si="0"/>
        <v>221.69</v>
      </c>
    </row>
    <row r="35" spans="1:34" ht="15.75" thickBot="1" x14ac:dyDescent="0.3">
      <c r="A35" s="39" t="s">
        <v>25</v>
      </c>
      <c r="B35" s="17" t="s">
        <v>18</v>
      </c>
      <c r="C35" s="18">
        <v>0</v>
      </c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0</v>
      </c>
      <c r="AF35" s="18">
        <v>0</v>
      </c>
      <c r="AG35" s="18"/>
      <c r="AH35" s="19">
        <f t="shared" si="0"/>
        <v>0</v>
      </c>
    </row>
    <row r="36" spans="1:34" ht="15.75" thickBot="1" x14ac:dyDescent="0.3">
      <c r="A36" s="39" t="s">
        <v>53</v>
      </c>
      <c r="B36" s="20" t="s">
        <v>19</v>
      </c>
      <c r="C36" s="21">
        <v>1.2609999999999999</v>
      </c>
      <c r="D36" s="21">
        <v>1.4159999999999999</v>
      </c>
      <c r="E36" s="21">
        <v>1.3260000000000001</v>
      </c>
      <c r="F36" s="21">
        <v>1.548</v>
      </c>
      <c r="G36" s="21">
        <v>1.75</v>
      </c>
      <c r="H36" s="21">
        <v>1.885</v>
      </c>
      <c r="I36" s="21">
        <v>1.8779999999999999</v>
      </c>
      <c r="J36" s="21">
        <v>2</v>
      </c>
      <c r="K36" s="21">
        <v>2.1230000000000002</v>
      </c>
      <c r="L36" s="21">
        <v>2.1520000000000001</v>
      </c>
      <c r="M36" s="21">
        <v>2.379</v>
      </c>
      <c r="N36" s="21">
        <v>2.4369999999999998</v>
      </c>
      <c r="O36" s="21">
        <v>2.6120000000000001</v>
      </c>
      <c r="P36" s="21">
        <v>2.77</v>
      </c>
      <c r="Q36" s="21">
        <v>2.8620000000000001</v>
      </c>
      <c r="R36" s="21">
        <v>2.976</v>
      </c>
      <c r="S36" s="21">
        <v>3.1179999999999999</v>
      </c>
      <c r="T36" s="21">
        <v>3.2109999999999999</v>
      </c>
      <c r="U36" s="21">
        <v>3.3559999999999999</v>
      </c>
      <c r="V36" s="21">
        <v>3.5030000000000001</v>
      </c>
      <c r="W36" s="21">
        <v>3.5990000000000002</v>
      </c>
      <c r="X36" s="21">
        <v>3.7210000000000001</v>
      </c>
      <c r="Y36" s="21">
        <v>3.7829999999999999</v>
      </c>
      <c r="Z36" s="21">
        <v>3.9260000000000002</v>
      </c>
      <c r="AA36" s="21">
        <v>4.03</v>
      </c>
      <c r="AB36" s="21">
        <v>4.141</v>
      </c>
      <c r="AC36" s="21">
        <v>4.3579999999999997</v>
      </c>
      <c r="AD36" s="21">
        <v>4.5129999999999999</v>
      </c>
      <c r="AE36" s="21">
        <v>3.996</v>
      </c>
      <c r="AF36" s="21">
        <v>4.6749999999999998</v>
      </c>
      <c r="AG36" s="21"/>
      <c r="AH36" s="19">
        <f t="shared" si="0"/>
        <v>87.305000000000021</v>
      </c>
    </row>
    <row r="37" spans="1:34" ht="15.75" thickBot="1" x14ac:dyDescent="0.3">
      <c r="A37" s="39" t="s">
        <v>26</v>
      </c>
      <c r="B37" s="17" t="s">
        <v>18</v>
      </c>
      <c r="C37" s="18">
        <v>0</v>
      </c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/>
      <c r="AH37" s="19">
        <f t="shared" si="0"/>
        <v>0</v>
      </c>
    </row>
    <row r="38" spans="1:34" ht="15.75" thickBot="1" x14ac:dyDescent="0.3">
      <c r="A38" s="39" t="s">
        <v>54</v>
      </c>
      <c r="B38" s="20" t="s">
        <v>19</v>
      </c>
      <c r="C38" s="21">
        <v>1E-3</v>
      </c>
      <c r="D38" s="21">
        <v>1E-3</v>
      </c>
      <c r="E38" s="21">
        <v>1E-3</v>
      </c>
      <c r="F38" s="21">
        <v>1E-3</v>
      </c>
      <c r="G38" s="21">
        <v>0</v>
      </c>
      <c r="H38" s="21">
        <v>0</v>
      </c>
      <c r="I38" s="21">
        <v>0</v>
      </c>
      <c r="J38" s="21">
        <v>0</v>
      </c>
      <c r="K38" s="21">
        <v>1E-3</v>
      </c>
      <c r="L38" s="21">
        <v>0</v>
      </c>
      <c r="M38" s="21">
        <v>1E-3</v>
      </c>
      <c r="N38" s="21">
        <v>0</v>
      </c>
      <c r="O38" s="21">
        <v>1E-3</v>
      </c>
      <c r="P38" s="21">
        <v>1E-3</v>
      </c>
      <c r="Q38" s="21">
        <v>1E-3</v>
      </c>
      <c r="R38" s="21">
        <v>1E-3</v>
      </c>
      <c r="S38" s="21">
        <v>1E-3</v>
      </c>
      <c r="T38" s="21">
        <v>0</v>
      </c>
      <c r="U38" s="21">
        <v>0</v>
      </c>
      <c r="V38" s="21">
        <v>1E-3</v>
      </c>
      <c r="W38" s="21">
        <v>0</v>
      </c>
      <c r="X38" s="21">
        <v>1E-3</v>
      </c>
      <c r="Y38" s="21">
        <v>0</v>
      </c>
      <c r="Z38" s="21">
        <v>0</v>
      </c>
      <c r="AA38" s="21">
        <v>0</v>
      </c>
      <c r="AB38" s="21">
        <v>0</v>
      </c>
      <c r="AC38" s="21">
        <v>1E-3</v>
      </c>
      <c r="AD38" s="21">
        <v>0</v>
      </c>
      <c r="AE38" s="21">
        <v>0</v>
      </c>
      <c r="AF38" s="21">
        <v>1E-3</v>
      </c>
      <c r="AG38" s="21"/>
      <c r="AH38" s="19">
        <f t="shared" si="0"/>
        <v>1.5000000000000006E-2</v>
      </c>
    </row>
    <row r="39" spans="1:34" ht="15.75" thickBot="1" x14ac:dyDescent="0.3">
      <c r="A39" s="39" t="s">
        <v>27</v>
      </c>
      <c r="B39" s="17" t="s">
        <v>18</v>
      </c>
      <c r="C39" s="18">
        <v>0</v>
      </c>
      <c r="D39" s="18">
        <v>0</v>
      </c>
      <c r="E39" s="18">
        <v>0</v>
      </c>
      <c r="F39" s="18">
        <v>0</v>
      </c>
      <c r="G39" s="18">
        <v>0</v>
      </c>
      <c r="H39" s="18">
        <v>0</v>
      </c>
      <c r="I39" s="18">
        <v>0</v>
      </c>
      <c r="J39" s="18">
        <v>0</v>
      </c>
      <c r="K39" s="18">
        <v>0</v>
      </c>
      <c r="L39" s="18">
        <v>0</v>
      </c>
      <c r="M39" s="18">
        <v>0</v>
      </c>
      <c r="N39" s="18">
        <v>0</v>
      </c>
      <c r="O39" s="18">
        <v>0</v>
      </c>
      <c r="P39" s="18">
        <v>0</v>
      </c>
      <c r="Q39" s="18">
        <v>0</v>
      </c>
      <c r="R39" s="18">
        <v>0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8">
        <v>0</v>
      </c>
      <c r="Y39" s="18">
        <v>0</v>
      </c>
      <c r="Z39" s="18">
        <v>0</v>
      </c>
      <c r="AA39" s="18">
        <v>0</v>
      </c>
      <c r="AB39" s="18">
        <v>0</v>
      </c>
      <c r="AC39" s="18">
        <v>0</v>
      </c>
      <c r="AD39" s="18">
        <v>0</v>
      </c>
      <c r="AE39" s="18">
        <v>0</v>
      </c>
      <c r="AF39" s="18">
        <v>0</v>
      </c>
      <c r="AG39" s="18"/>
      <c r="AH39" s="19">
        <f t="shared" si="0"/>
        <v>0</v>
      </c>
    </row>
    <row r="40" spans="1:34" ht="15.75" thickBot="1" x14ac:dyDescent="0.3">
      <c r="A40" s="39" t="s">
        <v>55</v>
      </c>
      <c r="B40" s="20" t="s">
        <v>19</v>
      </c>
      <c r="C40" s="21">
        <v>0</v>
      </c>
      <c r="D40" s="21">
        <v>0</v>
      </c>
      <c r="E40" s="21">
        <v>0</v>
      </c>
      <c r="F40" s="21">
        <v>0</v>
      </c>
      <c r="G40" s="21">
        <v>1E-3</v>
      </c>
      <c r="H40" s="21">
        <v>1E-3</v>
      </c>
      <c r="I40" s="21">
        <v>1E-3</v>
      </c>
      <c r="J40" s="21">
        <v>1E-3</v>
      </c>
      <c r="K40" s="21">
        <v>0</v>
      </c>
      <c r="L40" s="21">
        <v>1E-3</v>
      </c>
      <c r="M40" s="21">
        <v>0</v>
      </c>
      <c r="N40" s="21">
        <v>1E-3</v>
      </c>
      <c r="O40" s="21">
        <v>0</v>
      </c>
      <c r="P40" s="21">
        <v>0</v>
      </c>
      <c r="Q40" s="21">
        <v>0</v>
      </c>
      <c r="R40" s="21">
        <v>0</v>
      </c>
      <c r="S40" s="21">
        <v>0</v>
      </c>
      <c r="T40" s="21">
        <v>1E-3</v>
      </c>
      <c r="U40" s="21">
        <v>1E-3</v>
      </c>
      <c r="V40" s="21">
        <v>0</v>
      </c>
      <c r="W40" s="21">
        <v>0</v>
      </c>
      <c r="X40" s="21">
        <v>0</v>
      </c>
      <c r="Y40" s="21">
        <v>1E-3</v>
      </c>
      <c r="Z40" s="21">
        <v>1E-3</v>
      </c>
      <c r="AA40" s="21">
        <v>0</v>
      </c>
      <c r="AB40" s="21">
        <v>1E-3</v>
      </c>
      <c r="AC40" s="21">
        <v>0</v>
      </c>
      <c r="AD40" s="21">
        <v>1E-3</v>
      </c>
      <c r="AE40" s="21">
        <v>1E-3</v>
      </c>
      <c r="AF40" s="21">
        <v>0</v>
      </c>
      <c r="AG40" s="21"/>
      <c r="AH40" s="19">
        <f t="shared" si="0"/>
        <v>1.3000000000000005E-2</v>
      </c>
    </row>
    <row r="41" spans="1:34" ht="15.75" thickBot="1" x14ac:dyDescent="0.3">
      <c r="A41" s="39" t="s">
        <v>28</v>
      </c>
      <c r="B41" s="17" t="s">
        <v>18</v>
      </c>
      <c r="C41" s="18">
        <v>0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0</v>
      </c>
      <c r="Y41" s="18">
        <v>0</v>
      </c>
      <c r="Z41" s="18">
        <v>0</v>
      </c>
      <c r="AA41" s="18">
        <v>0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/>
      <c r="AH41" s="19">
        <f t="shared" si="0"/>
        <v>0</v>
      </c>
    </row>
    <row r="42" spans="1:34" ht="15.75" thickBot="1" x14ac:dyDescent="0.3">
      <c r="A42" s="39" t="s">
        <v>56</v>
      </c>
      <c r="B42" s="20" t="s">
        <v>19</v>
      </c>
      <c r="C42" s="21">
        <v>1E-3</v>
      </c>
      <c r="D42" s="21">
        <v>1E-3</v>
      </c>
      <c r="E42" s="21">
        <v>1E-3</v>
      </c>
      <c r="F42" s="21">
        <v>1E-3</v>
      </c>
      <c r="G42" s="21">
        <v>0</v>
      </c>
      <c r="H42" s="21">
        <v>0</v>
      </c>
      <c r="I42" s="21">
        <v>0</v>
      </c>
      <c r="J42" s="21">
        <v>0</v>
      </c>
      <c r="K42" s="21">
        <v>1E-3</v>
      </c>
      <c r="L42" s="21">
        <v>0</v>
      </c>
      <c r="M42" s="21">
        <v>1E-3</v>
      </c>
      <c r="N42" s="21">
        <v>0</v>
      </c>
      <c r="O42" s="21">
        <v>1E-3</v>
      </c>
      <c r="P42" s="21">
        <v>0</v>
      </c>
      <c r="Q42" s="21">
        <v>0</v>
      </c>
      <c r="R42" s="21">
        <v>1E-3</v>
      </c>
      <c r="S42" s="21">
        <v>1E-3</v>
      </c>
      <c r="T42" s="21">
        <v>0</v>
      </c>
      <c r="U42" s="21">
        <v>0</v>
      </c>
      <c r="V42" s="21">
        <v>1E-3</v>
      </c>
      <c r="W42" s="21">
        <v>1E-3</v>
      </c>
      <c r="X42" s="21">
        <v>1E-3</v>
      </c>
      <c r="Y42" s="21">
        <v>0</v>
      </c>
      <c r="Z42" s="21">
        <v>0</v>
      </c>
      <c r="AA42" s="21">
        <v>1E-3</v>
      </c>
      <c r="AB42" s="21">
        <v>0</v>
      </c>
      <c r="AC42" s="21">
        <v>1E-3</v>
      </c>
      <c r="AD42" s="21">
        <v>0</v>
      </c>
      <c r="AE42" s="21">
        <v>0</v>
      </c>
      <c r="AF42" s="21">
        <v>1E-3</v>
      </c>
      <c r="AG42" s="21"/>
      <c r="AH42" s="19">
        <f t="shared" si="0"/>
        <v>1.5000000000000006E-2</v>
      </c>
    </row>
    <row r="43" spans="1:34" ht="15.75" thickBot="1" x14ac:dyDescent="0.3">
      <c r="A43" s="39" t="s">
        <v>29</v>
      </c>
      <c r="B43" s="17" t="s">
        <v>18</v>
      </c>
      <c r="C43" s="18">
        <v>0</v>
      </c>
      <c r="D43" s="18">
        <v>0</v>
      </c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8">
        <v>0</v>
      </c>
      <c r="K43" s="18">
        <v>0</v>
      </c>
      <c r="L43" s="18">
        <v>0</v>
      </c>
      <c r="M43" s="18">
        <v>0</v>
      </c>
      <c r="N43" s="18">
        <v>0</v>
      </c>
      <c r="O43" s="18">
        <v>0</v>
      </c>
      <c r="P43" s="18">
        <v>0</v>
      </c>
      <c r="Q43" s="18">
        <v>0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0</v>
      </c>
      <c r="AA43" s="18">
        <v>0</v>
      </c>
      <c r="AB43" s="18">
        <v>0</v>
      </c>
      <c r="AC43" s="18">
        <v>0</v>
      </c>
      <c r="AD43" s="18">
        <v>0</v>
      </c>
      <c r="AE43" s="18">
        <v>0</v>
      </c>
      <c r="AF43" s="18">
        <v>0</v>
      </c>
      <c r="AG43" s="18"/>
      <c r="AH43" s="19">
        <f t="shared" si="0"/>
        <v>0</v>
      </c>
    </row>
    <row r="44" spans="1:34" ht="15.75" thickBot="1" x14ac:dyDescent="0.3">
      <c r="A44" s="39" t="s">
        <v>57</v>
      </c>
      <c r="B44" s="20" t="s">
        <v>19</v>
      </c>
      <c r="C44" s="21">
        <v>0</v>
      </c>
      <c r="D44" s="21">
        <v>0</v>
      </c>
      <c r="E44" s="21">
        <v>0</v>
      </c>
      <c r="F44" s="21">
        <v>0</v>
      </c>
      <c r="G44" s="21">
        <v>1E-3</v>
      </c>
      <c r="H44" s="21">
        <v>1E-3</v>
      </c>
      <c r="I44" s="21">
        <v>1E-3</v>
      </c>
      <c r="J44" s="21">
        <v>1E-3</v>
      </c>
      <c r="K44" s="21">
        <v>0</v>
      </c>
      <c r="L44" s="21">
        <v>1E-3</v>
      </c>
      <c r="M44" s="21">
        <v>0</v>
      </c>
      <c r="N44" s="21">
        <v>1E-3</v>
      </c>
      <c r="O44" s="21">
        <v>0</v>
      </c>
      <c r="P44" s="21">
        <v>1E-3</v>
      </c>
      <c r="Q44" s="21">
        <v>1E-3</v>
      </c>
      <c r="R44" s="21">
        <v>0</v>
      </c>
      <c r="S44" s="21">
        <v>0</v>
      </c>
      <c r="T44" s="21">
        <v>0</v>
      </c>
      <c r="U44" s="21">
        <v>1E-3</v>
      </c>
      <c r="V44" s="21">
        <v>0</v>
      </c>
      <c r="W44" s="21">
        <v>0</v>
      </c>
      <c r="X44" s="21">
        <v>0</v>
      </c>
      <c r="Y44" s="21">
        <v>1E-3</v>
      </c>
      <c r="Z44" s="21">
        <v>1E-3</v>
      </c>
      <c r="AA44" s="21">
        <v>0</v>
      </c>
      <c r="AB44" s="21">
        <v>1E-3</v>
      </c>
      <c r="AC44" s="21">
        <v>0</v>
      </c>
      <c r="AD44" s="21">
        <v>1E-3</v>
      </c>
      <c r="AE44" s="21">
        <v>1E-3</v>
      </c>
      <c r="AF44" s="21">
        <v>0</v>
      </c>
      <c r="AG44" s="21"/>
      <c r="AH44" s="19">
        <f t="shared" si="0"/>
        <v>1.4000000000000005E-2</v>
      </c>
    </row>
    <row r="45" spans="1:34" ht="15.75" thickBot="1" x14ac:dyDescent="0.3">
      <c r="A45" s="39" t="s">
        <v>30</v>
      </c>
      <c r="B45" s="17" t="s">
        <v>18</v>
      </c>
      <c r="C45" s="18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/>
      <c r="AH45" s="19">
        <f t="shared" si="0"/>
        <v>0</v>
      </c>
    </row>
    <row r="46" spans="1:34" ht="15.75" thickBot="1" x14ac:dyDescent="0.3">
      <c r="A46" s="39" t="s">
        <v>58</v>
      </c>
      <c r="B46" s="20" t="s">
        <v>19</v>
      </c>
      <c r="C46" s="21">
        <v>1E-3</v>
      </c>
      <c r="D46" s="21">
        <v>1E-3</v>
      </c>
      <c r="E46" s="21">
        <v>1E-3</v>
      </c>
      <c r="F46" s="21">
        <v>1E-3</v>
      </c>
      <c r="G46" s="21">
        <v>0</v>
      </c>
      <c r="H46" s="21">
        <v>0</v>
      </c>
      <c r="I46" s="21">
        <v>0</v>
      </c>
      <c r="J46" s="21">
        <v>0</v>
      </c>
      <c r="K46" s="21">
        <v>1E-3</v>
      </c>
      <c r="L46" s="21">
        <v>0</v>
      </c>
      <c r="M46" s="21">
        <v>1E-3</v>
      </c>
      <c r="N46" s="21">
        <v>0</v>
      </c>
      <c r="O46" s="21">
        <v>0</v>
      </c>
      <c r="P46" s="21">
        <v>0</v>
      </c>
      <c r="Q46" s="21">
        <v>0</v>
      </c>
      <c r="R46" s="21">
        <v>1E-3</v>
      </c>
      <c r="S46" s="21">
        <v>0</v>
      </c>
      <c r="T46" s="21">
        <v>1E-3</v>
      </c>
      <c r="U46" s="21">
        <v>0</v>
      </c>
      <c r="V46" s="21">
        <v>1E-3</v>
      </c>
      <c r="W46" s="21">
        <v>1E-3</v>
      </c>
      <c r="X46" s="21">
        <v>1E-3</v>
      </c>
      <c r="Y46" s="21">
        <v>0</v>
      </c>
      <c r="Z46" s="21">
        <v>0</v>
      </c>
      <c r="AA46" s="21">
        <v>1E-3</v>
      </c>
      <c r="AB46" s="21">
        <v>0</v>
      </c>
      <c r="AC46" s="21">
        <v>1E-3</v>
      </c>
      <c r="AD46" s="21">
        <v>0</v>
      </c>
      <c r="AE46" s="21">
        <v>0</v>
      </c>
      <c r="AF46" s="21">
        <v>1E-3</v>
      </c>
      <c r="AG46" s="21"/>
      <c r="AH46" s="19">
        <f t="shared" si="0"/>
        <v>1.4000000000000005E-2</v>
      </c>
    </row>
    <row r="47" spans="1:34" ht="15.75" thickBot="1" x14ac:dyDescent="0.3">
      <c r="A47" s="39" t="s">
        <v>32</v>
      </c>
      <c r="B47" s="17" t="s">
        <v>18</v>
      </c>
      <c r="C47" s="18">
        <v>0</v>
      </c>
      <c r="D47" s="18">
        <v>0</v>
      </c>
      <c r="E47" s="18">
        <v>0</v>
      </c>
      <c r="F47" s="18">
        <v>0</v>
      </c>
      <c r="G47" s="18">
        <v>0</v>
      </c>
      <c r="H47" s="18">
        <v>0</v>
      </c>
      <c r="I47" s="18">
        <v>0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18">
        <v>0</v>
      </c>
      <c r="P47" s="18">
        <v>0</v>
      </c>
      <c r="Q47" s="18">
        <v>0</v>
      </c>
      <c r="R47" s="18">
        <v>0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0</v>
      </c>
      <c r="AF47" s="18">
        <v>0</v>
      </c>
      <c r="AG47" s="18"/>
      <c r="AH47" s="19">
        <f t="shared" si="0"/>
        <v>0</v>
      </c>
    </row>
    <row r="48" spans="1:34" ht="15.75" thickBot="1" x14ac:dyDescent="0.3">
      <c r="A48" s="39"/>
      <c r="B48" s="20" t="s">
        <v>19</v>
      </c>
      <c r="C48" s="21">
        <v>0</v>
      </c>
      <c r="D48" s="21">
        <v>0</v>
      </c>
      <c r="E48" s="21">
        <v>0</v>
      </c>
      <c r="F48" s="21">
        <v>0</v>
      </c>
      <c r="G48" s="21">
        <v>1E-3</v>
      </c>
      <c r="H48" s="21">
        <v>1E-3</v>
      </c>
      <c r="I48" s="21">
        <v>1E-3</v>
      </c>
      <c r="J48" s="21">
        <v>1E-3</v>
      </c>
      <c r="K48" s="21">
        <v>0</v>
      </c>
      <c r="L48" s="21">
        <v>1E-3</v>
      </c>
      <c r="M48" s="21">
        <v>0</v>
      </c>
      <c r="N48" s="21">
        <v>1E-3</v>
      </c>
      <c r="O48" s="21">
        <v>1E-3</v>
      </c>
      <c r="P48" s="21">
        <v>1E-3</v>
      </c>
      <c r="Q48" s="21">
        <v>1E-3</v>
      </c>
      <c r="R48" s="21">
        <v>0</v>
      </c>
      <c r="S48" s="21">
        <v>1E-3</v>
      </c>
      <c r="T48" s="21">
        <v>0</v>
      </c>
      <c r="U48" s="21">
        <v>1E-3</v>
      </c>
      <c r="V48" s="21">
        <v>0</v>
      </c>
      <c r="W48" s="21">
        <v>0</v>
      </c>
      <c r="X48" s="21">
        <v>0</v>
      </c>
      <c r="Y48" s="21">
        <v>1E-3</v>
      </c>
      <c r="Z48" s="21">
        <v>1E-3</v>
      </c>
      <c r="AA48" s="21">
        <v>0</v>
      </c>
      <c r="AB48" s="21">
        <v>0</v>
      </c>
      <c r="AC48" s="21">
        <v>0</v>
      </c>
      <c r="AD48" s="21">
        <v>1E-3</v>
      </c>
      <c r="AE48" s="21">
        <v>1E-3</v>
      </c>
      <c r="AF48" s="21">
        <v>0</v>
      </c>
      <c r="AG48" s="21"/>
      <c r="AH48" s="19">
        <f t="shared" si="0"/>
        <v>1.5000000000000006E-2</v>
      </c>
    </row>
    <row r="49" spans="1:34" ht="15.75" thickBot="1" x14ac:dyDescent="0.3">
      <c r="A49" s="39" t="s">
        <v>33</v>
      </c>
      <c r="B49" s="17" t="s">
        <v>18</v>
      </c>
      <c r="C49" s="18">
        <v>0</v>
      </c>
      <c r="D49" s="18">
        <v>0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0</v>
      </c>
      <c r="AG49" s="18"/>
      <c r="AH49" s="19">
        <f t="shared" si="0"/>
        <v>0</v>
      </c>
    </row>
    <row r="50" spans="1:34" ht="15.75" thickBot="1" x14ac:dyDescent="0.3">
      <c r="A50" s="39" t="s">
        <v>59</v>
      </c>
      <c r="B50" s="20" t="s">
        <v>19</v>
      </c>
      <c r="C50" s="21">
        <v>1E-3</v>
      </c>
      <c r="D50" s="21">
        <v>1E-3</v>
      </c>
      <c r="E50" s="21">
        <v>1E-3</v>
      </c>
      <c r="F50" s="21">
        <v>1E-3</v>
      </c>
      <c r="G50" s="21">
        <v>0</v>
      </c>
      <c r="H50" s="21">
        <v>0</v>
      </c>
      <c r="I50" s="21">
        <v>0</v>
      </c>
      <c r="J50" s="21">
        <v>0</v>
      </c>
      <c r="K50" s="21">
        <v>1E-3</v>
      </c>
      <c r="L50" s="21">
        <v>0</v>
      </c>
      <c r="M50" s="21">
        <v>1E-3</v>
      </c>
      <c r="N50" s="21">
        <v>0</v>
      </c>
      <c r="O50" s="21">
        <v>0</v>
      </c>
      <c r="P50" s="21">
        <v>0</v>
      </c>
      <c r="Q50" s="21">
        <v>0</v>
      </c>
      <c r="R50" s="21">
        <v>1E-3</v>
      </c>
      <c r="S50" s="21">
        <v>0</v>
      </c>
      <c r="T50" s="21">
        <v>1E-3</v>
      </c>
      <c r="U50" s="21">
        <v>0.7</v>
      </c>
      <c r="V50" s="21">
        <v>1E-3</v>
      </c>
      <c r="W50" s="21">
        <v>1E-3</v>
      </c>
      <c r="X50" s="21">
        <v>0</v>
      </c>
      <c r="Y50" s="21">
        <v>0</v>
      </c>
      <c r="Z50" s="21">
        <v>0</v>
      </c>
      <c r="AA50" s="21">
        <v>1E-3</v>
      </c>
      <c r="AB50" s="21">
        <v>1E-3</v>
      </c>
      <c r="AC50" s="21">
        <v>1E-3</v>
      </c>
      <c r="AD50" s="21">
        <v>0</v>
      </c>
      <c r="AE50" s="21">
        <v>0</v>
      </c>
      <c r="AF50" s="21">
        <v>1E-3</v>
      </c>
      <c r="AG50" s="21"/>
      <c r="AH50" s="19">
        <f t="shared" si="0"/>
        <v>0.71399999999999997</v>
      </c>
    </row>
    <row r="51" spans="1:34" ht="15.75" thickBot="1" x14ac:dyDescent="0.3">
      <c r="A51" s="39" t="s">
        <v>34</v>
      </c>
      <c r="B51" s="17" t="s">
        <v>18</v>
      </c>
      <c r="C51" s="18">
        <v>0</v>
      </c>
      <c r="D51" s="18">
        <v>0</v>
      </c>
      <c r="E51" s="18">
        <v>0</v>
      </c>
      <c r="F51" s="18">
        <v>0</v>
      </c>
      <c r="G51" s="18">
        <v>0</v>
      </c>
      <c r="H51" s="18">
        <v>0</v>
      </c>
      <c r="I51" s="18">
        <v>0</v>
      </c>
      <c r="J51" s="18">
        <v>0</v>
      </c>
      <c r="K51" s="18">
        <v>0</v>
      </c>
      <c r="L51" s="18">
        <v>0</v>
      </c>
      <c r="M51" s="18">
        <v>0</v>
      </c>
      <c r="N51" s="18">
        <v>0</v>
      </c>
      <c r="O51" s="18">
        <v>0</v>
      </c>
      <c r="P51" s="18">
        <v>0</v>
      </c>
      <c r="Q51" s="18">
        <v>0</v>
      </c>
      <c r="R51" s="18">
        <v>0</v>
      </c>
      <c r="S51" s="18">
        <v>0</v>
      </c>
      <c r="T51" s="18">
        <v>0</v>
      </c>
      <c r="U51" s="18">
        <v>0</v>
      </c>
      <c r="V51" s="18">
        <v>0</v>
      </c>
      <c r="W51" s="18">
        <v>0</v>
      </c>
      <c r="X51" s="18">
        <v>0</v>
      </c>
      <c r="Y51" s="18">
        <v>0</v>
      </c>
      <c r="Z51" s="18">
        <v>0</v>
      </c>
      <c r="AA51" s="18">
        <v>0</v>
      </c>
      <c r="AB51" s="18">
        <v>0</v>
      </c>
      <c r="AC51" s="18">
        <v>0</v>
      </c>
      <c r="AD51" s="18">
        <v>0</v>
      </c>
      <c r="AE51" s="18">
        <v>0</v>
      </c>
      <c r="AF51" s="18">
        <v>0</v>
      </c>
      <c r="AG51" s="18"/>
      <c r="AH51" s="19">
        <f t="shared" si="0"/>
        <v>0</v>
      </c>
    </row>
    <row r="52" spans="1:34" ht="15.75" thickBot="1" x14ac:dyDescent="0.3">
      <c r="A52" s="39" t="s">
        <v>60</v>
      </c>
      <c r="B52" s="20" t="s">
        <v>19</v>
      </c>
      <c r="C52" s="21">
        <v>0</v>
      </c>
      <c r="D52" s="21">
        <v>0</v>
      </c>
      <c r="E52" s="21">
        <v>0</v>
      </c>
      <c r="F52" s="21">
        <v>0</v>
      </c>
      <c r="G52" s="21">
        <v>0</v>
      </c>
      <c r="H52" s="21">
        <v>1E-3</v>
      </c>
      <c r="I52" s="21">
        <v>0</v>
      </c>
      <c r="J52" s="21">
        <v>1E-3</v>
      </c>
      <c r="K52" s="21">
        <v>0</v>
      </c>
      <c r="L52" s="21">
        <v>1E-3</v>
      </c>
      <c r="M52" s="21">
        <v>0</v>
      </c>
      <c r="N52" s="21">
        <v>1E-3</v>
      </c>
      <c r="O52" s="21">
        <v>1E-3</v>
      </c>
      <c r="P52" s="21">
        <v>1E-3</v>
      </c>
      <c r="Q52" s="21">
        <v>1E-3</v>
      </c>
      <c r="R52" s="21">
        <v>0</v>
      </c>
      <c r="S52" s="21">
        <v>1E-3</v>
      </c>
      <c r="T52" s="21">
        <v>0</v>
      </c>
      <c r="U52" s="21">
        <v>0</v>
      </c>
      <c r="V52" s="21">
        <v>0</v>
      </c>
      <c r="W52" s="21">
        <v>0</v>
      </c>
      <c r="X52" s="21">
        <v>1E-3</v>
      </c>
      <c r="Y52" s="21">
        <v>1E-3</v>
      </c>
      <c r="Z52" s="21">
        <v>1E-3</v>
      </c>
      <c r="AA52" s="21">
        <v>0</v>
      </c>
      <c r="AB52" s="21">
        <v>0</v>
      </c>
      <c r="AC52" s="21">
        <v>0</v>
      </c>
      <c r="AD52" s="21">
        <v>1E-3</v>
      </c>
      <c r="AE52" s="21">
        <v>1E-3</v>
      </c>
      <c r="AF52" s="21">
        <v>0</v>
      </c>
      <c r="AG52" s="21"/>
      <c r="AH52" s="19">
        <f t="shared" si="0"/>
        <v>1.3000000000000005E-2</v>
      </c>
    </row>
    <row r="53" spans="1:34" ht="15.75" thickBot="1" x14ac:dyDescent="0.3">
      <c r="A53" s="39" t="s">
        <v>35</v>
      </c>
      <c r="B53" s="17" t="s">
        <v>18</v>
      </c>
      <c r="C53" s="18">
        <v>0</v>
      </c>
      <c r="D53" s="18">
        <v>0</v>
      </c>
      <c r="E53" s="18">
        <v>0</v>
      </c>
      <c r="F53" s="18">
        <v>0</v>
      </c>
      <c r="G53" s="18">
        <v>0</v>
      </c>
      <c r="H53" s="18">
        <v>0</v>
      </c>
      <c r="I53" s="18">
        <v>0</v>
      </c>
      <c r="J53" s="18">
        <v>0</v>
      </c>
      <c r="K53" s="18">
        <v>0</v>
      </c>
      <c r="L53" s="18">
        <v>0</v>
      </c>
      <c r="M53" s="18">
        <v>0</v>
      </c>
      <c r="N53" s="18">
        <v>0</v>
      </c>
      <c r="O53" s="18">
        <v>0</v>
      </c>
      <c r="P53" s="18">
        <v>0</v>
      </c>
      <c r="Q53" s="18">
        <v>0</v>
      </c>
      <c r="R53" s="18">
        <v>0</v>
      </c>
      <c r="S53" s="18">
        <v>0</v>
      </c>
      <c r="T53" s="18">
        <v>0</v>
      </c>
      <c r="U53" s="18">
        <v>0</v>
      </c>
      <c r="V53" s="18">
        <v>0</v>
      </c>
      <c r="W53" s="18">
        <v>0</v>
      </c>
      <c r="X53" s="18">
        <v>0</v>
      </c>
      <c r="Y53" s="18">
        <v>0</v>
      </c>
      <c r="Z53" s="18">
        <v>0</v>
      </c>
      <c r="AA53" s="18">
        <v>0</v>
      </c>
      <c r="AB53" s="18">
        <v>0</v>
      </c>
      <c r="AC53" s="18">
        <v>0</v>
      </c>
      <c r="AD53" s="18">
        <v>0</v>
      </c>
      <c r="AE53" s="18">
        <v>0</v>
      </c>
      <c r="AF53" s="18">
        <v>0</v>
      </c>
      <c r="AG53" s="18"/>
      <c r="AH53" s="19">
        <f t="shared" si="0"/>
        <v>0</v>
      </c>
    </row>
    <row r="54" spans="1:34" ht="15.75" thickBot="1" x14ac:dyDescent="0.3">
      <c r="A54" s="39" t="s">
        <v>61</v>
      </c>
      <c r="B54" s="20" t="s">
        <v>19</v>
      </c>
      <c r="C54" s="21">
        <v>1E-3</v>
      </c>
      <c r="D54" s="21">
        <v>1E-3</v>
      </c>
      <c r="E54" s="21">
        <v>1E-3</v>
      </c>
      <c r="F54" s="21">
        <v>1E-3</v>
      </c>
      <c r="G54" s="21">
        <v>1E-3</v>
      </c>
      <c r="H54" s="21">
        <v>0</v>
      </c>
      <c r="I54" s="21">
        <v>1E-3</v>
      </c>
      <c r="J54" s="21">
        <v>0</v>
      </c>
      <c r="K54" s="21">
        <v>1E-3</v>
      </c>
      <c r="L54" s="21">
        <v>0</v>
      </c>
      <c r="M54" s="21">
        <v>1E-3</v>
      </c>
      <c r="N54" s="21">
        <v>0</v>
      </c>
      <c r="O54" s="21">
        <v>0</v>
      </c>
      <c r="P54" s="21">
        <v>0</v>
      </c>
      <c r="Q54" s="21">
        <v>0</v>
      </c>
      <c r="R54" s="21">
        <v>0</v>
      </c>
      <c r="S54" s="21">
        <v>0</v>
      </c>
      <c r="T54" s="21">
        <v>1E-3</v>
      </c>
      <c r="U54" s="21">
        <v>1E-3</v>
      </c>
      <c r="V54" s="21">
        <v>1E-3</v>
      </c>
      <c r="W54" s="21">
        <v>1E-3</v>
      </c>
      <c r="X54" s="21">
        <v>0</v>
      </c>
      <c r="Y54" s="21">
        <v>0</v>
      </c>
      <c r="Z54" s="21">
        <v>0</v>
      </c>
      <c r="AA54" s="21">
        <v>1E-3</v>
      </c>
      <c r="AB54" s="21">
        <v>1E-3</v>
      </c>
      <c r="AC54" s="21">
        <v>1E-3</v>
      </c>
      <c r="AD54" s="21">
        <v>0</v>
      </c>
      <c r="AE54" s="21">
        <v>0</v>
      </c>
      <c r="AF54" s="21">
        <v>1E-3</v>
      </c>
      <c r="AG54" s="21"/>
      <c r="AH54" s="19">
        <f t="shared" si="0"/>
        <v>1.6000000000000007E-2</v>
      </c>
    </row>
    <row r="55" spans="1:34" ht="15.75" thickBot="1" x14ac:dyDescent="0.3">
      <c r="A55" s="39" t="s">
        <v>36</v>
      </c>
      <c r="B55" s="17" t="s">
        <v>18</v>
      </c>
      <c r="C55" s="18">
        <v>0</v>
      </c>
      <c r="D55" s="18">
        <v>0</v>
      </c>
      <c r="E55" s="18">
        <v>0</v>
      </c>
      <c r="F55" s="18">
        <v>0</v>
      </c>
      <c r="G55" s="18">
        <v>0</v>
      </c>
      <c r="H55" s="18">
        <v>0</v>
      </c>
      <c r="I55" s="18">
        <v>0</v>
      </c>
      <c r="J55" s="18">
        <v>0</v>
      </c>
      <c r="K55" s="18">
        <v>0</v>
      </c>
      <c r="L55" s="18">
        <v>0</v>
      </c>
      <c r="M55" s="18">
        <v>0</v>
      </c>
      <c r="N55" s="18">
        <v>0</v>
      </c>
      <c r="O55" s="18">
        <v>0</v>
      </c>
      <c r="P55" s="18">
        <v>0</v>
      </c>
      <c r="Q55" s="18">
        <v>0</v>
      </c>
      <c r="R55" s="18">
        <v>0</v>
      </c>
      <c r="S55" s="18">
        <v>0</v>
      </c>
      <c r="T55" s="18">
        <v>0</v>
      </c>
      <c r="U55" s="18">
        <v>0</v>
      </c>
      <c r="V55" s="18">
        <v>0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8">
        <v>0</v>
      </c>
      <c r="AC55" s="18">
        <v>0</v>
      </c>
      <c r="AD55" s="18">
        <v>0</v>
      </c>
      <c r="AE55" s="18">
        <v>0</v>
      </c>
      <c r="AF55" s="18">
        <v>0</v>
      </c>
      <c r="AG55" s="18"/>
      <c r="AH55" s="19">
        <f t="shared" si="0"/>
        <v>0</v>
      </c>
    </row>
    <row r="56" spans="1:34" ht="15.75" thickBot="1" x14ac:dyDescent="0.3">
      <c r="A56" s="39" t="s">
        <v>62</v>
      </c>
      <c r="B56" s="20" t="s">
        <v>19</v>
      </c>
      <c r="C56" s="21">
        <v>0</v>
      </c>
      <c r="D56" s="21">
        <v>0</v>
      </c>
      <c r="E56" s="21">
        <v>0</v>
      </c>
      <c r="F56" s="21">
        <v>0</v>
      </c>
      <c r="G56" s="21">
        <v>0</v>
      </c>
      <c r="H56" s="21">
        <v>1E-3</v>
      </c>
      <c r="I56" s="21">
        <v>0</v>
      </c>
      <c r="J56" s="21">
        <v>1E-3</v>
      </c>
      <c r="K56" s="21">
        <v>0</v>
      </c>
      <c r="L56" s="21">
        <v>1E-3</v>
      </c>
      <c r="M56" s="21">
        <v>0</v>
      </c>
      <c r="N56" s="21">
        <v>1E-3</v>
      </c>
      <c r="O56" s="21">
        <v>1E-3</v>
      </c>
      <c r="P56" s="21">
        <v>1E-3</v>
      </c>
      <c r="Q56" s="21">
        <v>1E-3</v>
      </c>
      <c r="R56" s="21">
        <v>1E-3</v>
      </c>
      <c r="S56" s="21">
        <v>1E-3</v>
      </c>
      <c r="T56" s="21">
        <v>0</v>
      </c>
      <c r="U56" s="21">
        <v>0</v>
      </c>
      <c r="V56" s="21">
        <v>0</v>
      </c>
      <c r="W56" s="21">
        <v>0</v>
      </c>
      <c r="X56" s="21">
        <v>1E-3</v>
      </c>
      <c r="Y56" s="21">
        <v>1E-3</v>
      </c>
      <c r="Z56" s="21">
        <v>1E-3</v>
      </c>
      <c r="AA56" s="21">
        <v>0</v>
      </c>
      <c r="AB56" s="21">
        <v>0</v>
      </c>
      <c r="AC56" s="21">
        <v>0</v>
      </c>
      <c r="AD56" s="21">
        <v>1E-3</v>
      </c>
      <c r="AE56" s="21">
        <v>1E-3</v>
      </c>
      <c r="AF56" s="21">
        <v>0</v>
      </c>
      <c r="AG56" s="21"/>
      <c r="AH56" s="19">
        <f t="shared" si="0"/>
        <v>1.4000000000000005E-2</v>
      </c>
    </row>
    <row r="57" spans="1:34" ht="15.75" thickBot="1" x14ac:dyDescent="0.3">
      <c r="A57" s="44" t="s">
        <v>37</v>
      </c>
      <c r="B57" s="17" t="s">
        <v>18</v>
      </c>
      <c r="C57" s="18">
        <v>0</v>
      </c>
      <c r="D57" s="18">
        <v>0</v>
      </c>
      <c r="E57" s="18">
        <v>0</v>
      </c>
      <c r="F57" s="18">
        <v>0</v>
      </c>
      <c r="G57" s="18">
        <v>0</v>
      </c>
      <c r="H57" s="18">
        <v>0</v>
      </c>
      <c r="I57" s="18">
        <v>0</v>
      </c>
      <c r="J57" s="18">
        <v>0</v>
      </c>
      <c r="K57" s="18">
        <v>0</v>
      </c>
      <c r="L57" s="18">
        <v>0</v>
      </c>
      <c r="M57" s="18">
        <v>0</v>
      </c>
      <c r="N57" s="18">
        <v>0</v>
      </c>
      <c r="O57" s="18">
        <v>0</v>
      </c>
      <c r="P57" s="18">
        <v>0</v>
      </c>
      <c r="Q57" s="18">
        <v>0</v>
      </c>
      <c r="R57" s="18">
        <v>0</v>
      </c>
      <c r="S57" s="18">
        <v>0</v>
      </c>
      <c r="T57" s="18">
        <v>0</v>
      </c>
      <c r="U57" s="18">
        <v>0</v>
      </c>
      <c r="V57" s="18">
        <v>0</v>
      </c>
      <c r="W57" s="18">
        <v>0</v>
      </c>
      <c r="X57" s="18">
        <v>0</v>
      </c>
      <c r="Y57" s="18">
        <v>0</v>
      </c>
      <c r="Z57" s="18">
        <v>0</v>
      </c>
      <c r="AA57" s="18">
        <v>0</v>
      </c>
      <c r="AB57" s="18">
        <v>0</v>
      </c>
      <c r="AC57" s="18">
        <v>0</v>
      </c>
      <c r="AD57" s="18">
        <v>0</v>
      </c>
      <c r="AE57" s="18">
        <v>0</v>
      </c>
      <c r="AF57" s="18">
        <v>0</v>
      </c>
      <c r="AG57" s="18"/>
      <c r="AH57" s="19">
        <f t="shared" si="0"/>
        <v>0</v>
      </c>
    </row>
    <row r="58" spans="1:34" ht="15.75" thickBot="1" x14ac:dyDescent="0.3">
      <c r="A58" s="44" t="s">
        <v>63</v>
      </c>
      <c r="B58" s="20" t="s">
        <v>19</v>
      </c>
      <c r="C58" s="21">
        <v>1E-3</v>
      </c>
      <c r="D58" s="21">
        <v>1E-3</v>
      </c>
      <c r="E58" s="21">
        <v>1E-3</v>
      </c>
      <c r="F58" s="21">
        <v>1E-3</v>
      </c>
      <c r="G58" s="21">
        <v>1E-3</v>
      </c>
      <c r="H58" s="21">
        <v>0</v>
      </c>
      <c r="I58" s="21">
        <v>1E-3</v>
      </c>
      <c r="J58" s="21">
        <v>0</v>
      </c>
      <c r="K58" s="21">
        <v>1E-3</v>
      </c>
      <c r="L58" s="21">
        <v>0</v>
      </c>
      <c r="M58" s="21">
        <v>0</v>
      </c>
      <c r="N58" s="21">
        <v>0</v>
      </c>
      <c r="O58" s="21">
        <v>0</v>
      </c>
      <c r="P58" s="21">
        <v>0</v>
      </c>
      <c r="Q58" s="21">
        <v>0</v>
      </c>
      <c r="R58" s="21">
        <v>0</v>
      </c>
      <c r="S58" s="21">
        <v>0</v>
      </c>
      <c r="T58" s="21">
        <v>1E-3</v>
      </c>
      <c r="U58" s="21">
        <v>1E-3</v>
      </c>
      <c r="V58" s="21">
        <v>0</v>
      </c>
      <c r="W58" s="21">
        <v>1E-3</v>
      </c>
      <c r="X58" s="21">
        <v>0</v>
      </c>
      <c r="Y58" s="21">
        <v>0</v>
      </c>
      <c r="Z58" s="21">
        <v>0</v>
      </c>
      <c r="AA58" s="21">
        <v>1E-3</v>
      </c>
      <c r="AB58" s="21">
        <v>1E-3</v>
      </c>
      <c r="AC58" s="21">
        <v>1E-3</v>
      </c>
      <c r="AD58" s="21">
        <v>0</v>
      </c>
      <c r="AE58" s="21">
        <v>0</v>
      </c>
      <c r="AF58" s="21">
        <v>1E-3</v>
      </c>
      <c r="AG58" s="21"/>
      <c r="AH58" s="19">
        <f t="shared" si="0"/>
        <v>1.4000000000000005E-2</v>
      </c>
    </row>
    <row r="59" spans="1:34" ht="15.75" thickBot="1" x14ac:dyDescent="0.3">
      <c r="A59" s="44" t="s">
        <v>38</v>
      </c>
      <c r="B59" s="17" t="s">
        <v>18</v>
      </c>
      <c r="C59" s="18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/>
      <c r="AH59" s="19">
        <f t="shared" si="0"/>
        <v>0</v>
      </c>
    </row>
    <row r="60" spans="1:34" ht="15.75" thickBot="1" x14ac:dyDescent="0.3">
      <c r="A60" s="44" t="s">
        <v>53</v>
      </c>
      <c r="B60" s="20" t="s">
        <v>19</v>
      </c>
      <c r="C60" s="21">
        <v>0</v>
      </c>
      <c r="D60" s="21">
        <v>0</v>
      </c>
      <c r="E60" s="21">
        <v>0</v>
      </c>
      <c r="F60" s="21">
        <v>0</v>
      </c>
      <c r="G60" s="21">
        <v>0</v>
      </c>
      <c r="H60" s="21">
        <v>1E-3</v>
      </c>
      <c r="I60" s="21">
        <v>0</v>
      </c>
      <c r="J60" s="21">
        <v>1E-3</v>
      </c>
      <c r="K60" s="21">
        <v>0</v>
      </c>
      <c r="L60" s="21">
        <v>1E-3</v>
      </c>
      <c r="M60" s="21">
        <v>7.8E-2</v>
      </c>
      <c r="N60" s="21">
        <v>0.28499999999999998</v>
      </c>
      <c r="O60" s="21">
        <v>0.40300000000000002</v>
      </c>
      <c r="P60" s="21">
        <v>0.64300000000000002</v>
      </c>
      <c r="Q60" s="21">
        <v>0.88700000000000001</v>
      </c>
      <c r="R60" s="21">
        <v>1.018</v>
      </c>
      <c r="S60" s="21">
        <v>1.2789999999999999</v>
      </c>
      <c r="T60" s="21">
        <v>1.5209999999999999</v>
      </c>
      <c r="U60" s="21">
        <v>1.7529999999999999</v>
      </c>
      <c r="V60" s="21">
        <v>1.865</v>
      </c>
      <c r="W60" s="21">
        <v>2.089</v>
      </c>
      <c r="X60" s="21">
        <v>2.3719999999999999</v>
      </c>
      <c r="Y60" s="21">
        <v>2.492</v>
      </c>
      <c r="Z60" s="21">
        <v>2.7040000000000002</v>
      </c>
      <c r="AA60" s="21">
        <v>2.9359999999999999</v>
      </c>
      <c r="AB60" s="21">
        <v>3.0659999999999998</v>
      </c>
      <c r="AC60" s="21">
        <v>3.306</v>
      </c>
      <c r="AD60" s="21">
        <v>3.56</v>
      </c>
      <c r="AE60" s="21">
        <v>3.76</v>
      </c>
      <c r="AF60" s="21">
        <v>3.9350000000000001</v>
      </c>
      <c r="AG60" s="21"/>
      <c r="AH60" s="19">
        <f t="shared" si="0"/>
        <v>39.954999999999998</v>
      </c>
    </row>
    <row r="61" spans="1:34" ht="15.75" thickBot="1" x14ac:dyDescent="0.3">
      <c r="A61" s="44" t="s">
        <v>39</v>
      </c>
      <c r="B61" s="17" t="s">
        <v>18</v>
      </c>
      <c r="C61" s="18">
        <v>0</v>
      </c>
      <c r="D61" s="18">
        <v>0</v>
      </c>
      <c r="E61" s="18">
        <v>0</v>
      </c>
      <c r="F61" s="18">
        <v>0</v>
      </c>
      <c r="G61" s="18">
        <v>0</v>
      </c>
      <c r="H61" s="18">
        <v>0</v>
      </c>
      <c r="I61" s="18">
        <v>0</v>
      </c>
      <c r="J61" s="18">
        <v>0</v>
      </c>
      <c r="K61" s="18">
        <v>0</v>
      </c>
      <c r="L61" s="18">
        <v>0</v>
      </c>
      <c r="M61" s="18">
        <v>0</v>
      </c>
      <c r="N61" s="18">
        <v>0</v>
      </c>
      <c r="O61" s="18">
        <v>0</v>
      </c>
      <c r="P61" s="18">
        <v>0</v>
      </c>
      <c r="Q61" s="18">
        <v>0</v>
      </c>
      <c r="R61" s="18">
        <v>0</v>
      </c>
      <c r="S61" s="18">
        <v>0</v>
      </c>
      <c r="T61" s="18">
        <v>0</v>
      </c>
      <c r="U61" s="18">
        <v>0</v>
      </c>
      <c r="V61" s="18">
        <v>0</v>
      </c>
      <c r="W61" s="18">
        <v>0</v>
      </c>
      <c r="X61" s="18">
        <v>0</v>
      </c>
      <c r="Y61" s="18">
        <v>0</v>
      </c>
      <c r="Z61" s="18">
        <v>0</v>
      </c>
      <c r="AA61" s="18">
        <v>0</v>
      </c>
      <c r="AB61" s="18">
        <v>0</v>
      </c>
      <c r="AC61" s="18">
        <v>0</v>
      </c>
      <c r="AD61" s="18">
        <v>0</v>
      </c>
      <c r="AE61" s="18">
        <v>0</v>
      </c>
      <c r="AF61" s="18">
        <v>0</v>
      </c>
      <c r="AG61" s="18"/>
      <c r="AH61" s="19">
        <f t="shared" si="0"/>
        <v>0</v>
      </c>
    </row>
    <row r="62" spans="1:34" ht="15.75" thickBot="1" x14ac:dyDescent="0.3">
      <c r="A62" s="44" t="s">
        <v>54</v>
      </c>
      <c r="B62" s="20" t="s">
        <v>19</v>
      </c>
      <c r="C62" s="21">
        <v>5.1029999999999998</v>
      </c>
      <c r="D62" s="21">
        <v>5.3579999999999997</v>
      </c>
      <c r="E62" s="21">
        <v>5.6260000000000003</v>
      </c>
      <c r="F62" s="21">
        <v>5.6319999999999997</v>
      </c>
      <c r="G62" s="21">
        <v>5.9850000000000003</v>
      </c>
      <c r="H62" s="21">
        <v>6.2130000000000001</v>
      </c>
      <c r="I62" s="21">
        <v>6.3259999999999996</v>
      </c>
      <c r="J62" s="21">
        <v>6.5720000000000001</v>
      </c>
      <c r="K62" s="21">
        <v>6.8339999999999996</v>
      </c>
      <c r="L62" s="21">
        <v>6.9269999999999996</v>
      </c>
      <c r="M62" s="21">
        <v>7.0490000000000004</v>
      </c>
      <c r="N62" s="21">
        <v>7.194</v>
      </c>
      <c r="O62" s="21">
        <v>7.157</v>
      </c>
      <c r="P62" s="21">
        <v>7.1909999999999998</v>
      </c>
      <c r="Q62" s="21">
        <v>7.2210000000000001</v>
      </c>
      <c r="R62" s="21">
        <v>7.2530000000000001</v>
      </c>
      <c r="S62" s="21">
        <v>7.3579999999999997</v>
      </c>
      <c r="T62" s="21">
        <v>7.3019999999999996</v>
      </c>
      <c r="U62" s="21">
        <v>7.2779999999999996</v>
      </c>
      <c r="V62" s="21">
        <v>7.1920000000000002</v>
      </c>
      <c r="W62" s="21">
        <v>7.2279999999999998</v>
      </c>
      <c r="X62" s="21">
        <v>7.2990000000000004</v>
      </c>
      <c r="Y62" s="21">
        <v>7.2270000000000003</v>
      </c>
      <c r="Z62" s="21">
        <v>7.2350000000000003</v>
      </c>
      <c r="AA62" s="21">
        <v>7.157</v>
      </c>
      <c r="AB62" s="21">
        <v>7.2220000000000004</v>
      </c>
      <c r="AC62" s="21">
        <v>7.1740000000000004</v>
      </c>
      <c r="AD62" s="21">
        <v>7.1849999999999996</v>
      </c>
      <c r="AE62" s="21">
        <v>7.173</v>
      </c>
      <c r="AF62" s="21">
        <v>7.2729999999999997</v>
      </c>
      <c r="AG62" s="21"/>
      <c r="AH62" s="19">
        <f t="shared" si="0"/>
        <v>204.94400000000007</v>
      </c>
    </row>
    <row r="63" spans="1:34" ht="15.75" thickBot="1" x14ac:dyDescent="0.3">
      <c r="A63" s="44" t="s">
        <v>40</v>
      </c>
      <c r="B63" s="17" t="s">
        <v>18</v>
      </c>
      <c r="C63" s="18">
        <v>0</v>
      </c>
      <c r="D63" s="18">
        <v>0</v>
      </c>
      <c r="E63" s="18">
        <v>0</v>
      </c>
      <c r="F63" s="18">
        <v>0</v>
      </c>
      <c r="G63" s="18">
        <v>0</v>
      </c>
      <c r="H63" s="18">
        <v>0</v>
      </c>
      <c r="I63" s="18">
        <v>0</v>
      </c>
      <c r="J63" s="18">
        <v>0</v>
      </c>
      <c r="K63" s="18">
        <v>0</v>
      </c>
      <c r="L63" s="18">
        <v>0</v>
      </c>
      <c r="M63" s="18">
        <v>0</v>
      </c>
      <c r="N63" s="18">
        <v>0</v>
      </c>
      <c r="O63" s="18">
        <v>0</v>
      </c>
      <c r="P63" s="18">
        <v>0</v>
      </c>
      <c r="Q63" s="18">
        <v>0</v>
      </c>
      <c r="R63" s="18">
        <v>0</v>
      </c>
      <c r="S63" s="18">
        <v>0</v>
      </c>
      <c r="T63" s="18">
        <v>0</v>
      </c>
      <c r="U63" s="18">
        <v>0</v>
      </c>
      <c r="V63" s="18">
        <v>0</v>
      </c>
      <c r="W63" s="18">
        <v>0</v>
      </c>
      <c r="X63" s="18">
        <v>0</v>
      </c>
      <c r="Y63" s="18">
        <v>0</v>
      </c>
      <c r="Z63" s="18">
        <v>0</v>
      </c>
      <c r="AA63" s="18">
        <v>0</v>
      </c>
      <c r="AB63" s="18">
        <v>0</v>
      </c>
      <c r="AC63" s="18">
        <v>0</v>
      </c>
      <c r="AD63" s="18">
        <v>0</v>
      </c>
      <c r="AE63" s="18">
        <v>0</v>
      </c>
      <c r="AF63" s="18">
        <v>0</v>
      </c>
      <c r="AG63" s="18"/>
      <c r="AH63" s="19">
        <f t="shared" si="0"/>
        <v>0</v>
      </c>
    </row>
    <row r="64" spans="1:34" ht="15.75" thickBot="1" x14ac:dyDescent="0.3">
      <c r="A64" s="44" t="s">
        <v>55</v>
      </c>
      <c r="B64" s="20" t="s">
        <v>19</v>
      </c>
      <c r="C64" s="21">
        <v>7.1369999999999996</v>
      </c>
      <c r="D64" s="21">
        <v>7.1970000000000001</v>
      </c>
      <c r="E64" s="21">
        <v>7.1550000000000002</v>
      </c>
      <c r="F64" s="21">
        <v>7.0810000000000004</v>
      </c>
      <c r="G64" s="21">
        <v>7.194</v>
      </c>
      <c r="H64" s="21">
        <v>7.1970000000000001</v>
      </c>
      <c r="I64" s="21">
        <v>7.22</v>
      </c>
      <c r="J64" s="21">
        <v>7.2240000000000002</v>
      </c>
      <c r="K64" s="21">
        <v>7.2220000000000004</v>
      </c>
      <c r="L64" s="21">
        <v>7.181</v>
      </c>
      <c r="M64" s="21">
        <v>7.1639999999999997</v>
      </c>
      <c r="N64" s="21">
        <v>7.2110000000000003</v>
      </c>
      <c r="O64" s="21">
        <v>7.2190000000000003</v>
      </c>
      <c r="P64" s="21">
        <v>7.1420000000000003</v>
      </c>
      <c r="Q64" s="21">
        <v>7.2060000000000004</v>
      </c>
      <c r="R64" s="21">
        <v>7.1109999999999998</v>
      </c>
      <c r="S64" s="21">
        <v>7.39</v>
      </c>
      <c r="T64" s="21">
        <v>7.3579999999999997</v>
      </c>
      <c r="U64" s="21">
        <v>7.3230000000000004</v>
      </c>
      <c r="V64" s="21">
        <v>7.2789999999999999</v>
      </c>
      <c r="W64" s="21">
        <v>7.3049999999999997</v>
      </c>
      <c r="X64" s="21">
        <v>7.3070000000000004</v>
      </c>
      <c r="Y64" s="21">
        <v>7.298</v>
      </c>
      <c r="Z64" s="21">
        <v>7.1920000000000002</v>
      </c>
      <c r="AA64" s="21">
        <v>7.1909999999999998</v>
      </c>
      <c r="AB64" s="21">
        <v>7.2450000000000001</v>
      </c>
      <c r="AC64" s="21">
        <v>7.2880000000000003</v>
      </c>
      <c r="AD64" s="21">
        <v>7.2160000000000002</v>
      </c>
      <c r="AE64" s="21">
        <v>7.3079999999999998</v>
      </c>
      <c r="AF64" s="21">
        <v>7.3520000000000003</v>
      </c>
      <c r="AG64" s="21"/>
      <c r="AH64" s="19">
        <f t="shared" si="0"/>
        <v>216.91300000000001</v>
      </c>
    </row>
    <row r="65" spans="1:34" ht="15.75" thickBot="1" x14ac:dyDescent="0.3">
      <c r="A65" s="44" t="s">
        <v>41</v>
      </c>
      <c r="B65" s="17" t="s">
        <v>18</v>
      </c>
      <c r="C65" s="18">
        <v>0</v>
      </c>
      <c r="D65" s="18">
        <v>0</v>
      </c>
      <c r="E65" s="18">
        <v>0</v>
      </c>
      <c r="F65" s="18">
        <v>0</v>
      </c>
      <c r="G65" s="18">
        <v>0</v>
      </c>
      <c r="H65" s="18">
        <v>0</v>
      </c>
      <c r="I65" s="18">
        <v>0</v>
      </c>
      <c r="J65" s="18">
        <v>0</v>
      </c>
      <c r="K65" s="18">
        <v>0</v>
      </c>
      <c r="L65" s="18">
        <v>0</v>
      </c>
      <c r="M65" s="18">
        <v>0</v>
      </c>
      <c r="N65" s="18">
        <v>0</v>
      </c>
      <c r="O65" s="18">
        <v>0</v>
      </c>
      <c r="P65" s="18">
        <v>0</v>
      </c>
      <c r="Q65" s="18">
        <v>0</v>
      </c>
      <c r="R65" s="18">
        <v>0</v>
      </c>
      <c r="S65" s="18">
        <v>0</v>
      </c>
      <c r="T65" s="18">
        <v>0</v>
      </c>
      <c r="U65" s="18">
        <v>0</v>
      </c>
      <c r="V65" s="18">
        <v>0</v>
      </c>
      <c r="W65" s="18">
        <v>0</v>
      </c>
      <c r="X65" s="18">
        <v>0</v>
      </c>
      <c r="Y65" s="18">
        <v>0</v>
      </c>
      <c r="Z65" s="18">
        <v>0</v>
      </c>
      <c r="AA65" s="18">
        <v>0</v>
      </c>
      <c r="AB65" s="18">
        <v>0</v>
      </c>
      <c r="AC65" s="18">
        <v>0</v>
      </c>
      <c r="AD65" s="18">
        <v>0</v>
      </c>
      <c r="AE65" s="18">
        <v>0</v>
      </c>
      <c r="AF65" s="18">
        <v>0</v>
      </c>
      <c r="AG65" s="18"/>
      <c r="AH65" s="19">
        <f t="shared" si="0"/>
        <v>0</v>
      </c>
    </row>
    <row r="66" spans="1:34" ht="15.75" thickBot="1" x14ac:dyDescent="0.3">
      <c r="A66" s="44" t="s">
        <v>56</v>
      </c>
      <c r="B66" s="20" t="s">
        <v>19</v>
      </c>
      <c r="C66" s="21">
        <v>7.1959999999999997</v>
      </c>
      <c r="D66" s="21">
        <v>7.2329999999999997</v>
      </c>
      <c r="E66" s="21">
        <v>7.1669999999999998</v>
      </c>
      <c r="F66" s="21">
        <v>7.1239999999999997</v>
      </c>
      <c r="G66" s="21">
        <v>7.2329999999999997</v>
      </c>
      <c r="H66" s="21">
        <v>7.2480000000000002</v>
      </c>
      <c r="I66" s="21">
        <v>7.2430000000000003</v>
      </c>
      <c r="J66" s="21">
        <v>7.2720000000000002</v>
      </c>
      <c r="K66" s="21">
        <v>7.18</v>
      </c>
      <c r="L66" s="21">
        <v>7.0590000000000002</v>
      </c>
      <c r="M66" s="21">
        <v>7.2489999999999997</v>
      </c>
      <c r="N66" s="21">
        <v>7.2439999999999998</v>
      </c>
      <c r="O66" s="21">
        <v>7.274</v>
      </c>
      <c r="P66" s="21">
        <v>7.16</v>
      </c>
      <c r="Q66" s="21">
        <v>7.2569999999999997</v>
      </c>
      <c r="R66" s="21">
        <v>7.1589999999999998</v>
      </c>
      <c r="S66" s="21">
        <v>7.2510000000000003</v>
      </c>
      <c r="T66" s="21">
        <v>7.3730000000000002</v>
      </c>
      <c r="U66" s="21">
        <v>7.3739999999999997</v>
      </c>
      <c r="V66" s="21">
        <v>7.3490000000000002</v>
      </c>
      <c r="W66" s="21">
        <v>7.3220000000000001</v>
      </c>
      <c r="X66" s="21">
        <v>7.3010000000000002</v>
      </c>
      <c r="Y66" s="21">
        <v>7.3639999999999999</v>
      </c>
      <c r="Z66" s="21">
        <v>7.2460000000000004</v>
      </c>
      <c r="AA66" s="21">
        <v>7.2190000000000003</v>
      </c>
      <c r="AB66" s="21">
        <v>7.258</v>
      </c>
      <c r="AC66" s="21">
        <v>7.3419999999999996</v>
      </c>
      <c r="AD66" s="21">
        <v>7.266</v>
      </c>
      <c r="AE66" s="21">
        <v>7.3390000000000004</v>
      </c>
      <c r="AF66" s="21">
        <v>7.3860000000000001</v>
      </c>
      <c r="AG66" s="21"/>
      <c r="AH66" s="19">
        <f t="shared" si="0"/>
        <v>217.68799999999999</v>
      </c>
    </row>
    <row r="67" spans="1:34" ht="15.75" thickBot="1" x14ac:dyDescent="0.3">
      <c r="A67" s="37" t="s">
        <v>42</v>
      </c>
      <c r="B67" s="17" t="s">
        <v>18</v>
      </c>
      <c r="C67" s="18">
        <v>0</v>
      </c>
      <c r="D67" s="18">
        <v>0</v>
      </c>
      <c r="E67" s="18">
        <v>0</v>
      </c>
      <c r="F67" s="18">
        <v>0</v>
      </c>
      <c r="G67" s="18">
        <v>0</v>
      </c>
      <c r="H67" s="18">
        <v>0</v>
      </c>
      <c r="I67" s="18">
        <v>0</v>
      </c>
      <c r="J67" s="18">
        <v>0</v>
      </c>
      <c r="K67" s="18">
        <v>0</v>
      </c>
      <c r="L67" s="18">
        <v>0</v>
      </c>
      <c r="M67" s="18">
        <v>0</v>
      </c>
      <c r="N67" s="18">
        <v>0</v>
      </c>
      <c r="O67" s="18">
        <v>0</v>
      </c>
      <c r="P67" s="18">
        <v>0</v>
      </c>
      <c r="Q67" s="18">
        <v>0</v>
      </c>
      <c r="R67" s="18">
        <v>0</v>
      </c>
      <c r="S67" s="18">
        <v>0</v>
      </c>
      <c r="T67" s="18">
        <v>0</v>
      </c>
      <c r="U67" s="18">
        <v>0</v>
      </c>
      <c r="V67" s="18">
        <v>0</v>
      </c>
      <c r="W67" s="18">
        <v>0</v>
      </c>
      <c r="X67" s="18">
        <v>0</v>
      </c>
      <c r="Y67" s="18">
        <v>0</v>
      </c>
      <c r="Z67" s="18">
        <v>0</v>
      </c>
      <c r="AA67" s="18">
        <v>0</v>
      </c>
      <c r="AB67" s="18">
        <v>0</v>
      </c>
      <c r="AC67" s="18">
        <v>0</v>
      </c>
      <c r="AD67" s="18">
        <v>0</v>
      </c>
      <c r="AE67" s="18">
        <v>0</v>
      </c>
      <c r="AF67" s="18">
        <v>0</v>
      </c>
      <c r="AG67" s="18"/>
      <c r="AH67" s="19">
        <f t="shared" si="0"/>
        <v>0</v>
      </c>
    </row>
    <row r="68" spans="1:34" ht="15.75" thickBot="1" x14ac:dyDescent="0.3">
      <c r="A68" s="37" t="s">
        <v>57</v>
      </c>
      <c r="B68" s="20" t="s">
        <v>19</v>
      </c>
      <c r="C68" s="21">
        <v>7.242</v>
      </c>
      <c r="D68" s="21">
        <v>7.282</v>
      </c>
      <c r="E68" s="21">
        <v>7.218</v>
      </c>
      <c r="F68" s="21">
        <v>7.1920000000000002</v>
      </c>
      <c r="G68" s="21">
        <v>7.2380000000000004</v>
      </c>
      <c r="H68" s="21">
        <v>7.3209999999999997</v>
      </c>
      <c r="I68" s="21">
        <v>7.3170000000000002</v>
      </c>
      <c r="J68" s="21">
        <v>7.3070000000000004</v>
      </c>
      <c r="K68" s="21">
        <v>7.2460000000000004</v>
      </c>
      <c r="L68" s="21">
        <v>7.2080000000000002</v>
      </c>
      <c r="M68" s="21">
        <v>7.2690000000000001</v>
      </c>
      <c r="N68" s="21">
        <v>7.2949999999999999</v>
      </c>
      <c r="O68" s="21">
        <v>7.3150000000000004</v>
      </c>
      <c r="P68" s="21">
        <v>7.2539999999999996</v>
      </c>
      <c r="Q68" s="21">
        <v>7.2910000000000004</v>
      </c>
      <c r="R68" s="21">
        <v>7.2839999999999998</v>
      </c>
      <c r="S68" s="21">
        <v>7.3449999999999998</v>
      </c>
      <c r="T68" s="21">
        <v>7.4450000000000003</v>
      </c>
      <c r="U68" s="21">
        <v>7.4080000000000004</v>
      </c>
      <c r="V68" s="21">
        <v>7.4020000000000001</v>
      </c>
      <c r="W68" s="21">
        <v>7.3719999999999999</v>
      </c>
      <c r="X68" s="21">
        <v>7.3170000000000002</v>
      </c>
      <c r="Y68" s="21">
        <v>7.4020000000000001</v>
      </c>
      <c r="Z68" s="21">
        <v>7.319</v>
      </c>
      <c r="AA68" s="21">
        <v>7.2229999999999999</v>
      </c>
      <c r="AB68" s="21">
        <v>7.3380000000000001</v>
      </c>
      <c r="AC68" s="21">
        <v>7.3680000000000003</v>
      </c>
      <c r="AD68" s="21">
        <v>7.3479999999999999</v>
      </c>
      <c r="AE68" s="21">
        <v>7.3920000000000003</v>
      </c>
      <c r="AF68" s="21">
        <v>7.3810000000000002</v>
      </c>
      <c r="AG68" s="21"/>
      <c r="AH68" s="19">
        <f t="shared" si="0"/>
        <v>219.33899999999997</v>
      </c>
    </row>
    <row r="69" spans="1:34" ht="15.75" thickBot="1" x14ac:dyDescent="0.3">
      <c r="A69" s="37" t="s">
        <v>43</v>
      </c>
      <c r="B69" s="17" t="s">
        <v>18</v>
      </c>
      <c r="C69" s="18">
        <v>0</v>
      </c>
      <c r="D69" s="18">
        <v>0</v>
      </c>
      <c r="E69" s="18">
        <v>0</v>
      </c>
      <c r="F69" s="18">
        <v>0</v>
      </c>
      <c r="G69" s="18">
        <v>0</v>
      </c>
      <c r="H69" s="18">
        <v>0</v>
      </c>
      <c r="I69" s="18">
        <v>0</v>
      </c>
      <c r="J69" s="18">
        <v>0</v>
      </c>
      <c r="K69" s="18">
        <v>0</v>
      </c>
      <c r="L69" s="18">
        <v>0</v>
      </c>
      <c r="M69" s="18">
        <v>0</v>
      </c>
      <c r="N69" s="18">
        <v>0</v>
      </c>
      <c r="O69" s="18">
        <v>0</v>
      </c>
      <c r="P69" s="18">
        <v>0</v>
      </c>
      <c r="Q69" s="18">
        <v>0</v>
      </c>
      <c r="R69" s="18">
        <v>0</v>
      </c>
      <c r="S69" s="18">
        <v>0</v>
      </c>
      <c r="T69" s="18">
        <v>0</v>
      </c>
      <c r="U69" s="18">
        <v>0</v>
      </c>
      <c r="V69" s="18">
        <v>0</v>
      </c>
      <c r="W69" s="18">
        <v>0</v>
      </c>
      <c r="X69" s="18">
        <v>0</v>
      </c>
      <c r="Y69" s="18">
        <v>0</v>
      </c>
      <c r="Z69" s="18">
        <v>0</v>
      </c>
      <c r="AA69" s="18">
        <v>0</v>
      </c>
      <c r="AB69" s="18">
        <v>0</v>
      </c>
      <c r="AC69" s="18">
        <v>0</v>
      </c>
      <c r="AD69" s="18">
        <v>0</v>
      </c>
      <c r="AE69" s="18">
        <v>0</v>
      </c>
      <c r="AF69" s="18">
        <v>0</v>
      </c>
      <c r="AG69" s="18"/>
      <c r="AH69" s="19">
        <f t="shared" si="0"/>
        <v>0</v>
      </c>
    </row>
    <row r="70" spans="1:34" ht="15.75" thickBot="1" x14ac:dyDescent="0.3">
      <c r="A70" s="37" t="s">
        <v>58</v>
      </c>
      <c r="B70" s="20" t="s">
        <v>19</v>
      </c>
      <c r="C70" s="21">
        <v>7.2240000000000002</v>
      </c>
      <c r="D70" s="21">
        <v>7.3129999999999997</v>
      </c>
      <c r="E70" s="21">
        <v>7.2750000000000004</v>
      </c>
      <c r="F70" s="21">
        <v>7.218</v>
      </c>
      <c r="G70" s="21">
        <v>7.2759999999999998</v>
      </c>
      <c r="H70" s="21">
        <v>7.35</v>
      </c>
      <c r="I70" s="21">
        <v>7.3949999999999996</v>
      </c>
      <c r="J70" s="21">
        <v>7.3129999999999997</v>
      </c>
      <c r="K70" s="21">
        <v>7.319</v>
      </c>
      <c r="L70" s="21">
        <v>7.2709999999999999</v>
      </c>
      <c r="M70" s="21">
        <v>7.319</v>
      </c>
      <c r="N70" s="21">
        <v>7.3</v>
      </c>
      <c r="O70" s="21">
        <v>7.3710000000000004</v>
      </c>
      <c r="P70" s="21">
        <v>7.2670000000000003</v>
      </c>
      <c r="Q70" s="21">
        <v>7.3780000000000001</v>
      </c>
      <c r="R70" s="21">
        <v>7.3479999999999999</v>
      </c>
      <c r="S70" s="21">
        <v>7.45</v>
      </c>
      <c r="T70" s="21">
        <v>7.44</v>
      </c>
      <c r="U70" s="21">
        <v>7.3630000000000004</v>
      </c>
      <c r="V70" s="21">
        <v>7.468</v>
      </c>
      <c r="W70" s="21">
        <v>7.4219999999999997</v>
      </c>
      <c r="X70" s="21">
        <v>7.4119999999999999</v>
      </c>
      <c r="Y70" s="21">
        <v>7.4379999999999997</v>
      </c>
      <c r="Z70" s="21">
        <v>7.3860000000000001</v>
      </c>
      <c r="AA70" s="21">
        <v>7.3490000000000002</v>
      </c>
      <c r="AB70" s="21">
        <v>7.3150000000000004</v>
      </c>
      <c r="AC70" s="21">
        <v>7.3419999999999996</v>
      </c>
      <c r="AD70" s="21">
        <v>7.4020000000000001</v>
      </c>
      <c r="AE70" s="21">
        <v>7.4089999999999998</v>
      </c>
      <c r="AF70" s="21">
        <v>7.4160000000000004</v>
      </c>
      <c r="AG70" s="21"/>
      <c r="AH70" s="19">
        <f t="shared" si="0"/>
        <v>220.54899999999995</v>
      </c>
    </row>
    <row r="71" spans="1:34" ht="15.75" thickBot="1" x14ac:dyDescent="0.3">
      <c r="A71" s="45" t="s">
        <v>16</v>
      </c>
      <c r="B71" s="17" t="s">
        <v>18</v>
      </c>
      <c r="C71" s="18">
        <f>SUM(C23,C25,C27,C29,C31,C33,C35,C37,C39,C41,C43,C45,C47,C49,C51,C53,C55,C57,C59,C61,C63,C65,C67,C69)</f>
        <v>0</v>
      </c>
      <c r="D71" s="18">
        <f>SUM(D23,D25,D27,D29,D31,D33,D35,D37,D39,D41,D43,D45,D47,D49,D51,D53,D55,D57,D59,D61,D63,D65,D67,D69)</f>
        <v>0</v>
      </c>
      <c r="E71" s="18">
        <f t="shared" ref="E71:AG71" si="1">SUM(E23,E25,E27,E29,E31,E33,E35,E37,E39,E41,E43,E45,E47,E49,E51,E53,E55,E57,E59,E61,E63,E65,E67,E69)</f>
        <v>0</v>
      </c>
      <c r="F71" s="18">
        <f t="shared" si="1"/>
        <v>0</v>
      </c>
      <c r="G71" s="18">
        <f t="shared" si="1"/>
        <v>0</v>
      </c>
      <c r="H71" s="18">
        <f t="shared" si="1"/>
        <v>0</v>
      </c>
      <c r="I71" s="18">
        <f t="shared" si="1"/>
        <v>0</v>
      </c>
      <c r="J71" s="18">
        <f t="shared" si="1"/>
        <v>0</v>
      </c>
      <c r="K71" s="18">
        <f t="shared" si="1"/>
        <v>0</v>
      </c>
      <c r="L71" s="18">
        <f t="shared" si="1"/>
        <v>0</v>
      </c>
      <c r="M71" s="18">
        <f t="shared" si="1"/>
        <v>0</v>
      </c>
      <c r="N71" s="18">
        <f t="shared" si="1"/>
        <v>0</v>
      </c>
      <c r="O71" s="18">
        <f t="shared" si="1"/>
        <v>0</v>
      </c>
      <c r="P71" s="18">
        <f t="shared" si="1"/>
        <v>0</v>
      </c>
      <c r="Q71" s="18">
        <f t="shared" si="1"/>
        <v>0</v>
      </c>
      <c r="R71" s="18">
        <f t="shared" si="1"/>
        <v>0</v>
      </c>
      <c r="S71" s="18">
        <f t="shared" si="1"/>
        <v>0</v>
      </c>
      <c r="T71" s="18">
        <f t="shared" si="1"/>
        <v>0</v>
      </c>
      <c r="U71" s="18">
        <f t="shared" si="1"/>
        <v>0</v>
      </c>
      <c r="V71" s="18">
        <f t="shared" si="1"/>
        <v>0</v>
      </c>
      <c r="W71" s="18">
        <f t="shared" si="1"/>
        <v>0</v>
      </c>
      <c r="X71" s="18">
        <f t="shared" si="1"/>
        <v>0</v>
      </c>
      <c r="Y71" s="18">
        <f t="shared" si="1"/>
        <v>0</v>
      </c>
      <c r="Z71" s="18">
        <f t="shared" si="1"/>
        <v>0</v>
      </c>
      <c r="AA71" s="18">
        <f t="shared" si="1"/>
        <v>0</v>
      </c>
      <c r="AB71" s="18">
        <f t="shared" si="1"/>
        <v>0</v>
      </c>
      <c r="AC71" s="18">
        <f t="shared" si="1"/>
        <v>0</v>
      </c>
      <c r="AD71" s="18">
        <f t="shared" si="1"/>
        <v>0</v>
      </c>
      <c r="AE71" s="18">
        <f t="shared" si="1"/>
        <v>0</v>
      </c>
      <c r="AF71" s="18">
        <f t="shared" si="1"/>
        <v>0</v>
      </c>
      <c r="AG71" s="18">
        <f t="shared" si="1"/>
        <v>0</v>
      </c>
      <c r="AH71" s="18">
        <f>SUM(C71:AG71)</f>
        <v>0</v>
      </c>
    </row>
    <row r="72" spans="1:34" x14ac:dyDescent="0.25">
      <c r="A72" s="46" t="s">
        <v>31</v>
      </c>
      <c r="B72" s="22" t="s">
        <v>19</v>
      </c>
      <c r="C72" s="19">
        <f>SUM(C24,C26,C28,C30,C32,C34,C36,C38,C40,C42,C44,C46,C48,C50,C52,C54,C56,C58,C60,C62,C64,C66,C68,C70)</f>
        <v>79.117999999999995</v>
      </c>
      <c r="D72" s="19">
        <f t="shared" ref="D72:AG72" si="2">SUM(D24,D26,D28,D30,D32,D34,D36,D38,D40,D42,D44,D46,D48,D50,D52,D54,D56,D58,D60,D62,D64,D66,D68,D70)</f>
        <v>80.551999999999978</v>
      </c>
      <c r="E72" s="19">
        <f t="shared" si="2"/>
        <v>78.935999999999993</v>
      </c>
      <c r="F72" s="19">
        <f t="shared" si="2"/>
        <v>78.656999999999996</v>
      </c>
      <c r="G72" s="19">
        <f t="shared" si="2"/>
        <v>80.858999999999995</v>
      </c>
      <c r="H72" s="19">
        <f t="shared" si="2"/>
        <v>81.514999999999986</v>
      </c>
      <c r="I72" s="19">
        <f t="shared" si="2"/>
        <v>81.699999999999974</v>
      </c>
      <c r="J72" s="19">
        <f t="shared" si="2"/>
        <v>82.313999999999993</v>
      </c>
      <c r="K72" s="19">
        <f t="shared" si="2"/>
        <v>82.450999999999979</v>
      </c>
      <c r="L72" s="19">
        <f t="shared" si="2"/>
        <v>82.212999999999994</v>
      </c>
      <c r="M72" s="19">
        <f t="shared" si="2"/>
        <v>83.156999999999996</v>
      </c>
      <c r="N72" s="19">
        <f t="shared" si="2"/>
        <v>83.363999999999976</v>
      </c>
      <c r="O72" s="19">
        <f t="shared" si="2"/>
        <v>83.988999999999976</v>
      </c>
      <c r="P72" s="19">
        <f t="shared" si="2"/>
        <v>84.016999999999996</v>
      </c>
      <c r="Q72" s="19">
        <f t="shared" si="2"/>
        <v>85.164000000000001</v>
      </c>
      <c r="R72" s="19">
        <f t="shared" si="2"/>
        <v>84.963999999999999</v>
      </c>
      <c r="S72" s="19">
        <f t="shared" si="2"/>
        <v>86.095999999999989</v>
      </c>
      <c r="T72" s="19">
        <f t="shared" si="2"/>
        <v>86.58499999999998</v>
      </c>
      <c r="U72" s="19">
        <f t="shared" si="2"/>
        <v>87.614999999999995</v>
      </c>
      <c r="V72" s="19">
        <f t="shared" si="2"/>
        <v>87.021000000000001</v>
      </c>
      <c r="W72" s="19">
        <f t="shared" si="2"/>
        <v>87.027999999999977</v>
      </c>
      <c r="X72" s="19">
        <f t="shared" si="2"/>
        <v>87.88</v>
      </c>
      <c r="Y72" s="19">
        <f t="shared" si="2"/>
        <v>87.671999999999997</v>
      </c>
      <c r="Z72" s="19">
        <f t="shared" si="2"/>
        <v>87.869999999999976</v>
      </c>
      <c r="AA72" s="19">
        <f t="shared" si="2"/>
        <v>87.86699999999999</v>
      </c>
      <c r="AB72" s="19">
        <f t="shared" si="2"/>
        <v>88.21899999999998</v>
      </c>
      <c r="AC72" s="19">
        <f t="shared" si="2"/>
        <v>89.056999999999974</v>
      </c>
      <c r="AD72" s="19">
        <f t="shared" si="2"/>
        <v>89.337999999999994</v>
      </c>
      <c r="AE72" s="19">
        <f t="shared" si="2"/>
        <v>87.381999999999991</v>
      </c>
      <c r="AF72" s="19">
        <f t="shared" si="2"/>
        <v>90.304999999999978</v>
      </c>
      <c r="AG72" s="19">
        <f t="shared" si="2"/>
        <v>0</v>
      </c>
      <c r="AH72" s="19">
        <f>SUM(C72:AG72)</f>
        <v>2542.9049999999997</v>
      </c>
    </row>
    <row r="73" spans="1:34" x14ac:dyDescent="0.25">
      <c r="A73" s="24"/>
      <c r="B73" s="25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</row>
    <row r="74" spans="1:34" x14ac:dyDescent="0.25">
      <c r="A74" s="1"/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47" t="s">
        <v>69</v>
      </c>
      <c r="X74" s="47"/>
      <c r="Y74" s="47" t="s">
        <v>70</v>
      </c>
      <c r="Z74" s="47"/>
      <c r="AA74" s="47" t="s">
        <v>65</v>
      </c>
      <c r="AB74" s="47"/>
      <c r="AC74" s="47" t="s">
        <v>66</v>
      </c>
      <c r="AD74" s="47"/>
      <c r="AE74" s="47" t="s">
        <v>67</v>
      </c>
      <c r="AF74" s="47"/>
      <c r="AG74" s="47" t="s">
        <v>68</v>
      </c>
      <c r="AH74" s="47"/>
    </row>
    <row r="75" spans="1:34" ht="15" customHeight="1" x14ac:dyDescent="0.25">
      <c r="A75" s="53" t="s">
        <v>44</v>
      </c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2"/>
      <c r="U75" s="49" t="s">
        <v>71</v>
      </c>
      <c r="V75" s="51"/>
      <c r="W75" s="43">
        <v>184.59399999999999</v>
      </c>
      <c r="X75" s="43"/>
      <c r="Y75" s="43"/>
      <c r="Z75" s="43"/>
      <c r="AA75" s="43">
        <v>191.43299999999999</v>
      </c>
      <c r="AB75" s="43"/>
      <c r="AC75" s="43">
        <v>0.45700000000000002</v>
      </c>
      <c r="AD75" s="43"/>
      <c r="AE75" s="43"/>
      <c r="AF75" s="43"/>
      <c r="AG75" s="43"/>
      <c r="AH75" s="43"/>
    </row>
    <row r="76" spans="1:34" x14ac:dyDescent="0.25">
      <c r="A76" s="1"/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49" t="s">
        <v>45</v>
      </c>
      <c r="Q76" s="49"/>
      <c r="R76" s="43">
        <v>1</v>
      </c>
      <c r="S76" s="43"/>
      <c r="U76" s="49" t="s">
        <v>72</v>
      </c>
      <c r="V76" s="51"/>
      <c r="W76" s="43">
        <v>2720.17</v>
      </c>
      <c r="X76" s="43"/>
      <c r="Y76" s="43"/>
      <c r="Z76" s="43"/>
      <c r="AA76" s="43">
        <v>2886.0079999999998</v>
      </c>
      <c r="AB76" s="43"/>
      <c r="AC76" s="43">
        <v>2.3279999999999998</v>
      </c>
      <c r="AD76" s="43"/>
      <c r="AE76" s="43"/>
      <c r="AF76" s="43"/>
      <c r="AG76" s="43"/>
      <c r="AH76" s="43"/>
    </row>
    <row r="77" spans="1:34" x14ac:dyDescent="0.25">
      <c r="A77" s="1" t="s">
        <v>46</v>
      </c>
      <c r="B77" s="1"/>
      <c r="C77" s="2"/>
      <c r="D77" s="2"/>
      <c r="E77" s="2"/>
      <c r="F77" s="2" t="s">
        <v>47</v>
      </c>
      <c r="G77" s="2"/>
      <c r="H77" s="40"/>
      <c r="I77" s="41"/>
      <c r="J77" s="41"/>
      <c r="K77" s="41"/>
      <c r="L77" s="41"/>
      <c r="M77" s="41"/>
      <c r="N77" s="42"/>
      <c r="O77" s="2"/>
      <c r="P77" s="49" t="s">
        <v>73</v>
      </c>
      <c r="Q77" s="49"/>
      <c r="R77" s="43">
        <v>7.6319999999999997</v>
      </c>
      <c r="S77" s="43"/>
      <c r="U77" s="49" t="s">
        <v>48</v>
      </c>
      <c r="V77" s="51"/>
      <c r="W77" s="43">
        <v>2535.576</v>
      </c>
      <c r="X77" s="43"/>
      <c r="Y77" s="43">
        <v>0</v>
      </c>
      <c r="Z77" s="43"/>
      <c r="AA77" s="43">
        <v>2694.5749999999998</v>
      </c>
      <c r="AB77" s="43"/>
      <c r="AC77" s="43">
        <v>1.871</v>
      </c>
      <c r="AD77" s="43"/>
      <c r="AE77" s="43">
        <v>0</v>
      </c>
      <c r="AF77" s="43"/>
      <c r="AG77" s="43">
        <v>0</v>
      </c>
      <c r="AH77" s="43"/>
    </row>
    <row r="78" spans="1:34" x14ac:dyDescent="0.25">
      <c r="A78" s="1"/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49" t="s">
        <v>75</v>
      </c>
      <c r="Q78" s="49"/>
      <c r="R78" s="50" t="s">
        <v>81</v>
      </c>
      <c r="S78" s="50"/>
      <c r="U78" s="49" t="s">
        <v>49</v>
      </c>
      <c r="V78" s="51"/>
      <c r="W78" s="43">
        <f>AH72</f>
        <v>2542.9049999999997</v>
      </c>
      <c r="X78" s="43"/>
      <c r="Y78" s="43">
        <f>AH71</f>
        <v>0</v>
      </c>
      <c r="Z78" s="43"/>
      <c r="AA78" s="43">
        <v>2702.3240000000001</v>
      </c>
      <c r="AB78" s="43"/>
      <c r="AC78" s="43">
        <v>1.871</v>
      </c>
      <c r="AD78" s="43"/>
      <c r="AE78" s="43">
        <v>0</v>
      </c>
      <c r="AF78" s="43"/>
      <c r="AG78" s="43">
        <v>0</v>
      </c>
      <c r="AH78" s="43"/>
    </row>
    <row r="79" spans="1:34" x14ac:dyDescent="0.25">
      <c r="A79" s="1" t="s">
        <v>50</v>
      </c>
      <c r="B79" s="1"/>
      <c r="C79" s="2"/>
      <c r="D79" s="2"/>
      <c r="E79" s="2"/>
      <c r="F79" s="2" t="s">
        <v>47</v>
      </c>
      <c r="G79" s="2"/>
      <c r="H79" s="40"/>
      <c r="I79" s="41"/>
      <c r="J79" s="41"/>
      <c r="K79" s="41"/>
      <c r="L79" s="41"/>
      <c r="M79" s="41"/>
      <c r="N79" s="42"/>
      <c r="O79" s="2"/>
      <c r="P79" s="49" t="s">
        <v>74</v>
      </c>
      <c r="Q79" s="49"/>
      <c r="R79" s="43"/>
      <c r="S79" s="43"/>
      <c r="U79" s="49" t="s">
        <v>64</v>
      </c>
      <c r="V79" s="51"/>
      <c r="W79" s="43">
        <f>W77-W78</f>
        <v>-7.3289999999997235</v>
      </c>
      <c r="X79" s="43"/>
      <c r="Y79" s="43">
        <f>Y77-Y78</f>
        <v>0</v>
      </c>
      <c r="Z79" s="43"/>
      <c r="AA79" s="43">
        <v>-7.7489999999999997</v>
      </c>
      <c r="AB79" s="43"/>
      <c r="AC79" s="43">
        <v>0</v>
      </c>
      <c r="AD79" s="43"/>
      <c r="AE79" s="43">
        <v>0</v>
      </c>
      <c r="AF79" s="43"/>
      <c r="AG79" s="43">
        <v>0</v>
      </c>
      <c r="AH79" s="43"/>
    </row>
    <row r="80" spans="1:34" x14ac:dyDescent="0.25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49" t="s">
        <v>76</v>
      </c>
      <c r="Q80" s="49"/>
      <c r="R80" s="50"/>
      <c r="S80" s="50"/>
      <c r="U80" s="49" t="s">
        <v>51</v>
      </c>
      <c r="V80" s="51"/>
      <c r="W80" s="52">
        <f>IF(W77&gt;0,W79/W77,0)</f>
        <v>-2.8904674914101269E-3</v>
      </c>
      <c r="X80" s="52"/>
      <c r="Y80" s="52">
        <f>IF(Y77&gt;0,Y79/Y77,0)</f>
        <v>0</v>
      </c>
      <c r="Z80" s="52"/>
      <c r="AA80" s="48">
        <v>-3.0000000000000001E-3</v>
      </c>
      <c r="AB80" s="48"/>
      <c r="AC80" s="48">
        <v>0</v>
      </c>
      <c r="AD80" s="48"/>
      <c r="AE80" s="48">
        <v>0</v>
      </c>
      <c r="AF80" s="48"/>
      <c r="AG80" s="48">
        <v>0</v>
      </c>
      <c r="AH80" s="48"/>
    </row>
    <row r="81" spans="1:19" x14ac:dyDescent="0.25">
      <c r="A81" s="1" t="s">
        <v>52</v>
      </c>
      <c r="B81" s="1"/>
      <c r="C81" s="2"/>
      <c r="D81" s="2"/>
      <c r="E81" s="2"/>
      <c r="F81" s="2" t="s">
        <v>47</v>
      </c>
      <c r="G81" s="2"/>
      <c r="H81" s="40"/>
      <c r="I81" s="41"/>
      <c r="J81" s="41"/>
      <c r="K81" s="41"/>
      <c r="L81" s="41"/>
      <c r="M81" s="41"/>
      <c r="N81" s="42"/>
      <c r="O81" s="2"/>
      <c r="P81" s="2"/>
      <c r="Q81" s="2"/>
      <c r="R81" s="2"/>
      <c r="S81" s="2"/>
    </row>
  </sheetData>
  <mergeCells count="138">
    <mergeCell ref="A75:N75"/>
    <mergeCell ref="H77:N77"/>
    <mergeCell ref="H79:N79"/>
    <mergeCell ref="AE74:AF74"/>
    <mergeCell ref="AG74:AH74"/>
    <mergeCell ref="AG77:AH77"/>
    <mergeCell ref="AG78:AH78"/>
    <mergeCell ref="AG79:AH79"/>
    <mergeCell ref="AG80:AH80"/>
    <mergeCell ref="U75:V75"/>
    <mergeCell ref="W75:X75"/>
    <mergeCell ref="Y75:Z75"/>
    <mergeCell ref="AA75:AB75"/>
    <mergeCell ref="AC75:AD75"/>
    <mergeCell ref="AE75:AF75"/>
    <mergeCell ref="AG75:AH75"/>
    <mergeCell ref="U76:V76"/>
    <mergeCell ref="W76:X76"/>
    <mergeCell ref="Y76:Z76"/>
    <mergeCell ref="Y77:Z77"/>
    <mergeCell ref="Y78:Z78"/>
    <mergeCell ref="Y79:Z79"/>
    <mergeCell ref="Y80:Z80"/>
    <mergeCell ref="AA74:AB74"/>
    <mergeCell ref="AA76:AB76"/>
    <mergeCell ref="U77:V77"/>
    <mergeCell ref="U78:V78"/>
    <mergeCell ref="U79:V79"/>
    <mergeCell ref="U80:V80"/>
    <mergeCell ref="W77:X77"/>
    <mergeCell ref="W78:X78"/>
    <mergeCell ref="W79:X79"/>
    <mergeCell ref="W80:X80"/>
    <mergeCell ref="L7:N7"/>
    <mergeCell ref="L9:N9"/>
    <mergeCell ref="P7:R7"/>
    <mergeCell ref="P9:R9"/>
    <mergeCell ref="T7:V7"/>
    <mergeCell ref="T9:V9"/>
    <mergeCell ref="AE79:AF79"/>
    <mergeCell ref="AC80:AD80"/>
    <mergeCell ref="AE80:AF80"/>
    <mergeCell ref="P77:Q77"/>
    <mergeCell ref="R77:S77"/>
    <mergeCell ref="AC77:AD77"/>
    <mergeCell ref="AE77:AF77"/>
    <mergeCell ref="P76:Q76"/>
    <mergeCell ref="R76:S76"/>
    <mergeCell ref="AC78:AD78"/>
    <mergeCell ref="AE78:AF78"/>
    <mergeCell ref="P78:Q78"/>
    <mergeCell ref="R78:S78"/>
    <mergeCell ref="AC79:AD79"/>
    <mergeCell ref="P79:Q79"/>
    <mergeCell ref="R79:S79"/>
    <mergeCell ref="P80:Q80"/>
    <mergeCell ref="R80:S80"/>
    <mergeCell ref="AG21:AG22"/>
    <mergeCell ref="H81:N81"/>
    <mergeCell ref="AC76:AD76"/>
    <mergeCell ref="AE76:AF76"/>
    <mergeCell ref="AG76:AH76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A71:A72"/>
    <mergeCell ref="W74:X74"/>
    <mergeCell ref="Y74:Z74"/>
    <mergeCell ref="AC74:AD74"/>
    <mergeCell ref="AA77:AB77"/>
    <mergeCell ref="AA78:AB78"/>
    <mergeCell ref="AA79:AB79"/>
    <mergeCell ref="AA80:AB80"/>
    <mergeCell ref="M21:M22"/>
    <mergeCell ref="A37:A38"/>
    <mergeCell ref="A39:A40"/>
    <mergeCell ref="A41:A42"/>
    <mergeCell ref="A43:A44"/>
    <mergeCell ref="A45:A46"/>
    <mergeCell ref="A47:A48"/>
    <mergeCell ref="A35:A36"/>
    <mergeCell ref="AF21:AF22"/>
    <mergeCell ref="A25:A26"/>
    <mergeCell ref="A27:A28"/>
    <mergeCell ref="A29:A30"/>
    <mergeCell ref="A31:A32"/>
    <mergeCell ref="A33:A34"/>
    <mergeCell ref="D21:D22"/>
    <mergeCell ref="E21:E22"/>
    <mergeCell ref="AD21:AD22"/>
    <mergeCell ref="AE21:AE22"/>
    <mergeCell ref="N21:N22"/>
    <mergeCell ref="O21:O22"/>
    <mergeCell ref="P21:P22"/>
    <mergeCell ref="Q21:Q22"/>
    <mergeCell ref="A23:A24"/>
    <mergeCell ref="X21:X22"/>
    <mergeCell ref="Y21:Y22"/>
    <mergeCell ref="Z21:Z22"/>
    <mergeCell ref="AA21:AA22"/>
    <mergeCell ref="AB21:AB22"/>
    <mergeCell ref="AC21:AC22"/>
    <mergeCell ref="R21:R22"/>
    <mergeCell ref="S21:S22"/>
    <mergeCell ref="T21:T22"/>
    <mergeCell ref="U21:U22"/>
    <mergeCell ref="A5:AB5"/>
    <mergeCell ref="D7:F7"/>
    <mergeCell ref="H7:J7"/>
    <mergeCell ref="D9:F9"/>
    <mergeCell ref="H9:J9"/>
    <mergeCell ref="H13:O13"/>
    <mergeCell ref="F21:F22"/>
    <mergeCell ref="G21:G22"/>
    <mergeCell ref="H21:H22"/>
    <mergeCell ref="I21:I22"/>
    <mergeCell ref="J21:J22"/>
    <mergeCell ref="K21:K22"/>
    <mergeCell ref="D15:E15"/>
    <mergeCell ref="F15:G15"/>
    <mergeCell ref="H15:O15"/>
    <mergeCell ref="D17:E17"/>
    <mergeCell ref="A19:AH19"/>
    <mergeCell ref="A21:A22"/>
    <mergeCell ref="B21:B22"/>
    <mergeCell ref="C21:C22"/>
    <mergeCell ref="AH21:AH22"/>
    <mergeCell ref="V21:V22"/>
    <mergeCell ref="W21:W22"/>
    <mergeCell ref="L21:L2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2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2193681000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btopcu</dc:creator>
  <cp:lastModifiedBy>Hasan Bera DALCA</cp:lastModifiedBy>
  <cp:lastPrinted>2020-07-28T18:13:36Z</cp:lastPrinted>
  <dcterms:created xsi:type="dcterms:W3CDTF">2020-07-28T17:59:28Z</dcterms:created>
  <dcterms:modified xsi:type="dcterms:W3CDTF">2026-02-13T11:25:50Z</dcterms:modified>
</cp:coreProperties>
</file>